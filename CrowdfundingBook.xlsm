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hai\Desktop\"/>
    </mc:Choice>
  </mc:AlternateContent>
  <xr:revisionPtr revIDLastSave="0" documentId="13_ncr:1_{42B62F3B-DC2D-45C2-85B8-94424535BD1B}" xr6:coauthVersionLast="47" xr6:coauthVersionMax="47" xr10:uidLastSave="{00000000-0000-0000-0000-000000000000}"/>
  <bookViews>
    <workbookView xWindow="4065" yWindow="2370" windowWidth="28800" windowHeight="15435" xr2:uid="{00000000-000D-0000-FFFF-FFFF00000000}"/>
  </bookViews>
  <sheets>
    <sheet name="Crowdfunding" sheetId="1" r:id="rId1"/>
    <sheet name="Category Outcomes" sheetId="2" r:id="rId2"/>
    <sheet name="SubCategory Outcomes" sheetId="3" r:id="rId3"/>
    <sheet name="Parent Category Outcomes" sheetId="4" r:id="rId4"/>
    <sheet name="Goals" sheetId="6" r:id="rId5"/>
    <sheet name="Statistical Analysis (backers)" sheetId="5" r:id="rId6"/>
  </sheets>
  <definedNames>
    <definedName name="backers">Crowdfunding!$H$2:$H$1001</definedName>
    <definedName name="failed">'Statistical Analysis (backers)'!$G$2:$G$365</definedName>
    <definedName name="goal">Crowdfunding!$D$2:$D$1001</definedName>
    <definedName name="outcomes">Crowdfunding!$G$2:$G$1001</definedName>
    <definedName name="successful">'Statistical Analysis (backers)'!$C$2:$C$566</definedName>
  </definedNames>
  <calcPr calcId="191029"/>
  <pivotCaches>
    <pivotCache cacheId="0" r:id="rId7"/>
    <pivotCache cacheId="1" r:id="rId8"/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/>
  <c r="J2" i="6"/>
  <c r="I3" i="6"/>
  <c r="J3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H3" i="6"/>
  <c r="H4" i="6"/>
  <c r="H5" i="6"/>
  <c r="H6" i="6"/>
  <c r="H7" i="6"/>
  <c r="H8" i="6"/>
  <c r="H9" i="6"/>
  <c r="H10" i="6"/>
  <c r="H11" i="6"/>
  <c r="H12" i="6"/>
  <c r="H13" i="6"/>
  <c r="H2" i="6"/>
  <c r="G3" i="6"/>
  <c r="G4" i="6"/>
  <c r="G5" i="6"/>
  <c r="G6" i="6"/>
  <c r="G7" i="6"/>
  <c r="G8" i="6"/>
  <c r="G9" i="6"/>
  <c r="G10" i="6"/>
  <c r="G11" i="6"/>
  <c r="G12" i="6"/>
  <c r="G13" i="6"/>
  <c r="G2" i="6"/>
  <c r="F13" i="6"/>
  <c r="F4" i="6"/>
  <c r="F5" i="6"/>
  <c r="F6" i="6"/>
  <c r="F7" i="6"/>
  <c r="F8" i="6"/>
  <c r="F9" i="6"/>
  <c r="F10" i="6"/>
  <c r="F11" i="6"/>
  <c r="F12" i="6"/>
  <c r="F3" i="6"/>
  <c r="F2" i="6"/>
  <c r="E13" i="6"/>
  <c r="E4" i="6"/>
  <c r="E5" i="6"/>
  <c r="E6" i="6"/>
  <c r="E7" i="6"/>
  <c r="E8" i="6"/>
  <c r="E9" i="6"/>
  <c r="E10" i="6"/>
  <c r="E11" i="6"/>
  <c r="E12" i="6"/>
  <c r="E3" i="6"/>
  <c r="E2" i="6"/>
  <c r="D13" i="6"/>
  <c r="D4" i="6"/>
  <c r="D5" i="6"/>
  <c r="D6" i="6"/>
  <c r="D7" i="6"/>
  <c r="D8" i="6"/>
  <c r="D9" i="6"/>
  <c r="D10" i="6"/>
  <c r="D11" i="6"/>
  <c r="D12" i="6"/>
  <c r="D3" i="6"/>
  <c r="D2" i="6"/>
  <c r="J27" i="5"/>
  <c r="J24" i="5"/>
  <c r="J25" i="5" s="1"/>
  <c r="J23" i="5"/>
  <c r="J22" i="5"/>
  <c r="J14" i="5"/>
  <c r="J12" i="5"/>
  <c r="J11" i="5"/>
  <c r="J10" i="5"/>
  <c r="J9" i="5"/>
  <c r="J21" i="5"/>
  <c r="J8" i="5"/>
  <c r="J20" i="5"/>
  <c r="J7" i="5"/>
  <c r="J19" i="5"/>
  <c r="J18" i="5"/>
  <c r="J17" i="5"/>
  <c r="J16" i="5"/>
  <c r="J6" i="5"/>
  <c r="J5" i="5"/>
  <c r="J4" i="5"/>
  <c r="J3" i="5"/>
  <c r="N3" i="1"/>
  <c r="O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O2" i="1"/>
  <c r="N2" i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3" i="1" a="1"/>
  <c r="S3" i="1" s="1"/>
  <c r="S2" i="1" a="1"/>
  <c r="S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<sst xmlns="http://schemas.openxmlformats.org/spreadsheetml/2006/main" count="7173" uniqueCount="2124">
  <si>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</si>
  <si>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</si>
  <si>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</si>
  <si>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</si>
  <si>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</si>
  <si>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</si>
  <si>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</si>
  <si>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</si>
  <si>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</si>
  <si>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</si>
  <si>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</si>
  <si>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</si>
  <si>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</si>
  <si>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</si>
  <si>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</si>
  <si>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</si>
  <si>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</si>
  <si>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</si>
  <si>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</si>
  <si>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</si>
  <si>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</si>
  <si>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</si>
  <si>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</si>
  <si>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</si>
  <si>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</si>
  <si>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</si>
  <si>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</si>
  <si>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</si>
  <si>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</si>
  <si>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</si>
  <si>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</si>
  <si>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</si>
  <si>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</si>
  <si>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</si>
  <si>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</si>
  <si>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</si>
  <si>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</si>
  <si>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</si>
  <si>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</si>
  <si>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</si>
  <si>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</si>
  <si>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</si>
  <si>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</si>
  <si>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</si>
  <si>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</si>
  <si>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</si>
  <si>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</si>
  <si>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</si>
  <si>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</si>
  <si>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</si>
  <si>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</si>
  <si>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</si>
  <si>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</si>
  <si>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</si>
  <si>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</si>
  <si>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</si>
  <si>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</si>
  <si>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</si>
  <si>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</si>
  <si>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</si>
  <si>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</si>
  <si>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</si>
  <si>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</si>
  <si>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</si>
  <si>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</si>
  <si>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</si>
  <si>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</si>
  <si>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</si>
  <si>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</si>
  <si>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</si>
  <si>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</si>
  <si>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</si>
  <si>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</si>
  <si>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</si>
  <si>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</si>
  <si>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</si>
  <si>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</si>
  <si>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</si>
  <si>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</si>
  <si>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</si>
  <si>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</si>
  <si>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</si>
  <si>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</si>
  <si>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</si>
  <si>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</si>
  <si>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</si>
  <si>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</si>
  <si>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</si>
  <si>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</si>
  <si>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</si>
  <si>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</si>
  <si>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</si>
  <si>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</si>
  <si>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</si>
  <si>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</si>
  <si>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</si>
  <si>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</si>
  <si>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</si>
  <si>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</si>
  <si>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</si>
  <si>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</si>
  <si>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</si>
  <si>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</si>
  <si>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</si>
  <si>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</si>
  <si>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</si>
  <si>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</si>
  <si>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</si>
  <si>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</si>
  <si>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</si>
  <si>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</si>
  <si>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</si>
  <si>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</si>
  <si>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</si>
  <si>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</si>
  <si>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</si>
  <si>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</si>
  <si>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</si>
  <si>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</si>
  <si>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</si>
  <si>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</si>
  <si>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</si>
  <si>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</si>
  <si>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</si>
  <si>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</si>
  <si>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</si>
  <si>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</si>
  <si>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</si>
  <si>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</si>
  <si>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</si>
  <si>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</si>
  <si>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</si>
  <si>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</si>
  <si>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</si>
  <si>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</si>
  <si>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</si>
  <si>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</si>
  <si>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</si>
  <si>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</si>
  <si>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</si>
  <si>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</si>
  <si>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</si>
  <si>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</si>
  <si>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</si>
  <si>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</si>
  <si>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</si>
  <si>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</si>
  <si>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</si>
  <si>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</si>
  <si>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</si>
  <si>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</si>
  <si>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</si>
  <si>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</si>
  <si>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</si>
  <si>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</si>
  <si>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</si>
  <si>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</si>
  <si>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</si>
  <si>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</si>
  <si>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</si>
  <si>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</si>
  <si>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</si>
  <si>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</si>
  <si>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</si>
  <si>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</si>
  <si>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</si>
  <si>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</si>
  <si>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</si>
  <si>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</si>
  <si>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</si>
  <si>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</si>
  <si>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</si>
  <si>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</si>
  <si>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</si>
  <si>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</si>
  <si>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</si>
  <si>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</si>
  <si>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</si>
  <si>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</si>
  <si>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</si>
  <si>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</si>
  <si>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</si>
  <si>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</si>
  <si>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</si>
  <si>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</si>
  <si>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</si>
  <si>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</si>
  <si>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</si>
  <si>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</si>
  <si>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</si>
  <si>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</si>
  <si>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</si>
  <si>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</si>
  <si>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</si>
  <si>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</si>
  <si>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</si>
  <si>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</si>
  <si>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</si>
  <si>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</si>
  <si>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</si>
  <si>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</si>
  <si>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</si>
  <si>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</si>
  <si>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</si>
  <si>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</si>
  <si>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</si>
  <si>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</si>
  <si>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</si>
  <si>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</si>
  <si>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</si>
  <si>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</si>
  <si>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</si>
  <si>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</si>
  <si>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</si>
  <si>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</si>
  <si>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</si>
  <si>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</si>
  <si>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</si>
  <si>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</si>
  <si>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</si>
  <si>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</si>
  <si>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</si>
  <si>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</si>
  <si>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</si>
  <si>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</si>
  <si>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</si>
  <si>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</si>
  <si>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</si>
  <si>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</si>
  <si>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</si>
  <si>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</si>
  <si>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</si>
  <si>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</si>
  <si>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</si>
  <si>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</si>
  <si>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</si>
  <si>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</si>
  <si>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</si>
  <si>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</si>
  <si>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</si>
  <si>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</si>
  <si>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</si>
  <si>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</si>
  <si>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</si>
  <si>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</si>
  <si>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</si>
  <si>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</si>
  <si>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</si>
  <si>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</si>
  <si>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</si>
  <si>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</si>
  <si>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</si>
  <si>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</si>
  <si>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</si>
  <si>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</si>
  <si>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</si>
  <si>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</si>
  <si>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</si>
  <si>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</si>
  <si>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</si>
  <si>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</si>
  <si>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</si>
  <si>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</si>
  <si>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</si>
  <si>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</si>
  <si>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</si>
  <si>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</si>
  <si>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</si>
  <si>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</si>
  <si>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</si>
  <si>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</si>
  <si>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</si>
  <si>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</si>
  <si>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</si>
  <si>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</si>
  <si>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</si>
  <si>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</si>
  <si>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</si>
  <si>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</si>
  <si>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</si>
  <si>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</si>
  <si>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</si>
  <si>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</si>
  <si>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</si>
  <si>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</si>
  <si>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</si>
  <si>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</si>
  <si>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</si>
  <si>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</si>
  <si>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</si>
  <si>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</si>
  <si>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</si>
  <si>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</si>
  <si>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</si>
  <si>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</si>
  <si>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</si>
  <si>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</si>
  <si>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</si>
  <si>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</si>
  <si>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</si>
  <si>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</si>
  <si>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</si>
  <si>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</si>
  <si>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</si>
  <si>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</si>
  <si>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</si>
  <si>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</si>
  <si>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</si>
  <si>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</si>
  <si>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</si>
  <si>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</si>
  <si>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</si>
  <si>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</si>
  <si>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</si>
  <si>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</si>
  <si>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</si>
  <si>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</si>
  <si>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</si>
  <si>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</si>
  <si>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</si>
  <si>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</si>
  <si>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</si>
  <si>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</si>
  <si>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</si>
  <si>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</si>
  <si>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</si>
  <si>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</si>
  <si>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</si>
  <si>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</si>
  <si>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</si>
  <si>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</si>
  <si>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</si>
  <si>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</si>
  <si>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</si>
  <si>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</si>
  <si>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</si>
  <si>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</si>
  <si>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</si>
  <si>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</si>
  <si>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</si>
  <si>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</si>
  <si>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</si>
  <si>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</si>
  <si>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</si>
  <si>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</si>
  <si>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</si>
  <si>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</si>
  <si>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</si>
  <si>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</si>
  <si>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</si>
  <si>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</si>
  <si>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</si>
  <si>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</si>
  <si>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</si>
  <si>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</si>
  <si>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</si>
  <si>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</si>
  <si>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</si>
  <si>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</si>
  <si>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</si>
  <si>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</si>
  <si>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</si>
  <si>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</si>
  <si>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</si>
  <si>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</si>
  <si>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</si>
  <si>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</si>
  <si>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</si>
  <si>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</si>
  <si>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</si>
  <si>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</si>
  <si>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</si>
  <si>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</si>
  <si>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</si>
  <si>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</si>
  <si>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</si>
  <si>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</si>
  <si>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</si>
  <si>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</si>
  <si>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</si>
  <si>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</si>
  <si>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</si>
  <si>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</si>
  <si>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</si>
  <si>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</si>
  <si>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</si>
  <si>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</si>
  <si>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</si>
  <si>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</si>
  <si>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</si>
  <si>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</si>
  <si>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</si>
  <si>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</si>
  <si>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</si>
  <si>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</si>
  <si>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</si>
  <si>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</si>
  <si>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</si>
  <si>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</si>
  <si>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</si>
  <si>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</si>
  <si>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</si>
  <si>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</si>
  <si>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</si>
  <si>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</si>
  <si>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</si>
  <si>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</si>
  <si>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</si>
  <si>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</si>
  <si>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</si>
  <si>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</si>
  <si>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</si>
  <si>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</si>
  <si>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</si>
  <si>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</si>
  <si>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</si>
  <si>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</si>
  <si>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</si>
  <si>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</si>
  <si>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</si>
  <si>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</si>
  <si>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</si>
  <si>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</si>
  <si>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</si>
  <si>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</si>
  <si>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</si>
  <si>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</si>
  <si>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</si>
  <si>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</si>
  <si>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</si>
  <si>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</si>
  <si>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</si>
  <si>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</si>
  <si>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</si>
  <si>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</si>
  <si>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</si>
  <si>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</si>
  <si>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</si>
  <si>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</si>
  <si>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</si>
  <si>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</si>
  <si>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</si>
  <si>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</si>
  <si>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</si>
  <si>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</si>
  <si>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</si>
  <si>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</si>
  <si>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</si>
  <si>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</si>
  <si>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</si>
  <si>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</si>
  <si>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</si>
  <si>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</si>
  <si>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</si>
  <si>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</si>
  <si>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</si>
  <si>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</si>
  <si>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</si>
  <si>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</si>
  <si>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</si>
  <si>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</si>
  <si>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</si>
  <si>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</si>
  <si>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</si>
  <si>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</si>
  <si>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</si>
  <si>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</si>
  <si>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</si>
  <si>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</si>
  <si>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</si>
  <si>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</si>
  <si>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</si>
  <si>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</si>
  <si>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</si>
  <si>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</si>
  <si>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</si>
  <si>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</si>
  <si>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</si>
  <si>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</si>
  <si>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</si>
  <si>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</si>
  <si>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</si>
  <si>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</si>
  <si>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</si>
  <si>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</si>
  <si>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</si>
  <si>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</si>
  <si>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</si>
  <si>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</si>
  <si>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</si>
  <si>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</si>
  <si>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</si>
  <si>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</si>
  <si>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</si>
  <si>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</si>
  <si>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</si>
  <si>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</si>
  <si>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</si>
  <si>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</si>
  <si>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</si>
  <si>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</si>
  <si>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</si>
  <si>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</si>
  <si>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</si>
  <si>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</si>
  <si>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</si>
  <si>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</si>
  <si>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</si>
  <si>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</si>
  <si>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</si>
  <si>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</si>
  <si>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</si>
  <si>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</si>
  <si>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</si>
  <si>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</si>
  <si>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</si>
  <si>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</si>
  <si>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</si>
  <si>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</si>
  <si>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</si>
  <si>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</si>
  <si>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</si>
  <si>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</si>
  <si>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</si>
  <si>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</si>
  <si>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</si>
  <si>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</si>
  <si>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</si>
  <si>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</si>
  <si>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</si>
  <si>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</si>
  <si>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</si>
  <si>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</si>
  <si>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</si>
  <si>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</si>
  <si>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</si>
  <si>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</si>
  <si>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</si>
  <si>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</si>
  <si>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</si>
  <si>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</si>
  <si>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</si>
  <si>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</si>
  <si>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</si>
  <si>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</si>
  <si>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</si>
  <si>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</si>
  <si>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</si>
  <si>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</si>
  <si>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</si>
  <si>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</si>
  <si>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</si>
  <si>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</si>
  <si>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</si>
  <si>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</si>
  <si>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</si>
  <si>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</si>
  <si>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</si>
  <si>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</si>
  <si>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</si>
  <si>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</si>
  <si>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</si>
  <si>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</si>
  <si>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</si>
  <si>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</si>
  <si>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</si>
  <si>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</si>
  <si>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</si>
  <si>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</si>
  <si>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</si>
  <si>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</si>
  <si>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</si>
  <si>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</si>
  <si>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</si>
  <si>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</si>
  <si>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</si>
  <si>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</si>
  <si>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</si>
  <si>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</si>
  <si>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</si>
  <si>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</si>
  <si>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</si>
  <si>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</si>
  <si>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</si>
  <si>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</si>
  <si>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</si>
  <si>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</si>
  <si>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</si>
  <si>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</si>
  <si>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</si>
  <si>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</si>
  <si>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</si>
  <si>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</si>
  <si>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</si>
  <si>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</si>
  <si>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</si>
  <si>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</si>
  <si>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</si>
  <si>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</si>
  <si>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</si>
  <si>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</si>
  <si>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</si>
  <si>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</si>
  <si>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</si>
  <si>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</si>
  <si>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</si>
  <si>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</si>
  <si>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</si>
  <si>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</si>
  <si>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</si>
  <si>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</si>
  <si>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</si>
  <si>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</si>
  <si>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</si>
  <si>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</si>
  <si>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</si>
  <si>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</si>
  <si>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</si>
  <si>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</si>
  <si>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</si>
  <si>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</si>
  <si>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</si>
  <si>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</si>
  <si>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</si>
  <si>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</si>
  <si>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</si>
  <si>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</si>
  <si>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</si>
  <si>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</si>
  <si>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</si>
  <si>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</si>
  <si>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</si>
  <si>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</si>
  <si>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</si>
  <si>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</si>
  <si>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</si>
  <si>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</si>
  <si>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</si>
  <si>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</si>
  <si>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</si>
  <si>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</si>
  <si>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</si>
  <si>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</si>
  <si>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</si>
  <si>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</si>
  <si>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</si>
  <si>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</si>
  <si>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</si>
  <si>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</si>
  <si>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</si>
  <si>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</si>
  <si>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</si>
  <si>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</si>
  <si>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</si>
  <si>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</si>
  <si>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</si>
  <si>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</si>
  <si>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</si>
  <si>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</si>
  <si>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</si>
  <si>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</si>
  <si>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</si>
  <si>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</si>
  <si>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</si>
  <si>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</si>
  <si>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</si>
  <si>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</si>
  <si>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</si>
  <si>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</si>
  <si>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</si>
  <si>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</si>
  <si>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</si>
  <si>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</si>
  <si>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</si>
  <si>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</si>
  <si>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</si>
  <si>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</si>
  <si>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</si>
  <si>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</si>
  <si>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</si>
  <si>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</si>
  <si>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</si>
  <si>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</si>
  <si>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</si>
  <si>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</si>
  <si>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</si>
  <si>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</si>
  <si>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</si>
  <si>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</si>
  <si>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</si>
  <si>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</si>
  <si>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</si>
  <si>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</si>
  <si>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</si>
  <si>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</si>
  <si>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</si>
  <si>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</si>
  <si>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</si>
  <si>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</si>
  <si>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</si>
  <si>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</si>
  <si>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</si>
  <si>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</si>
  <si>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</si>
  <si>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</si>
  <si>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</si>
  <si>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</si>
  <si>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</si>
  <si>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</si>
  <si>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</si>
  <si>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</si>
  <si>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</si>
  <si>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</si>
  <si>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</si>
  <si>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</si>
  <si>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</si>
  <si>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</si>
  <si>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</si>
  <si>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</si>
  <si>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</si>
  <si>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</si>
  <si>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</si>
  <si>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</si>
  <si>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</si>
  <si>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</si>
  <si>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</si>
  <si>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</si>
  <si>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</si>
  <si>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</si>
  <si>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</si>
  <si>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</si>
  <si>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</si>
  <si>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</si>
  <si>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</si>
  <si>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</si>
  <si>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</si>
  <si>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</si>
  <si>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</si>
  <si>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</si>
  <si>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</si>
  <si>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</si>
  <si>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</si>
  <si>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</si>
  <si>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</si>
  <si>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</si>
  <si>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</si>
  <si>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</si>
  <si>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</si>
  <si>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</si>
  <si>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</si>
  <si>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</si>
  <si>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</si>
  <si>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</si>
  <si>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</si>
  <si>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</si>
  <si>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</si>
  <si>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</si>
  <si>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</si>
  <si>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</si>
  <si>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</si>
  <si>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</si>
  <si>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</si>
  <si>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</si>
  <si>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</si>
  <si>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</si>
  <si>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</si>
  <si>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</si>
  <si>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</si>
  <si>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</si>
  <si>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</si>
  <si>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</si>
  <si>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</si>
  <si>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</si>
  <si>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</si>
  <si>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</si>
  <si>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</si>
  <si>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</si>
  <si>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</si>
  <si>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</si>
  <si>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</si>
  <si>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</si>
  <si>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</si>
  <si>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</si>
  <si>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</si>
  <si>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</si>
  <si>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</si>
  <si>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</si>
  <si>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</si>
  <si>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</si>
  <si>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</si>
  <si>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</si>
  <si>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</si>
  <si>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</si>
  <si>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</si>
  <si>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</si>
  <si>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</si>
  <si>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</si>
  <si>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</si>
  <si>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</si>
  <si>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</si>
  <si>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</si>
  <si>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</si>
  <si>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</si>
  <si>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</si>
  <si>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</si>
  <si>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</si>
  <si>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</si>
  <si>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</si>
  <si>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</si>
  <si>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</si>
  <si>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</si>
  <si>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</si>
  <si>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</si>
  <si>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</si>
  <si>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</si>
  <si>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</si>
  <si>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</si>
  <si>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</si>
  <si>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</si>
  <si>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</si>
  <si>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</si>
  <si>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</si>
  <si>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</si>
  <si>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</si>
  <si>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</si>
  <si>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</si>
  <si>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</si>
  <si>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</si>
  <si>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</si>
  <si>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</si>
  <si>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</si>
  <si>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</si>
  <si>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</si>
  <si>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</si>
  <si>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</si>
  <si>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</si>
  <si>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</si>
  <si>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</si>
  <si>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</si>
  <si>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</si>
  <si>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</si>
  <si>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</si>
  <si>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</si>
  <si>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</si>
  <si>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</si>
  <si>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</si>
  <si>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</si>
  <si>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</si>
  <si>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</si>
  <si>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</si>
  <si>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</si>
  <si>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</si>
  <si>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</si>
  <si>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</si>
  <si>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</si>
  <si>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</si>
  <si>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</si>
  <si>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</si>
  <si>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</si>
  <si>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</si>
  <si>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</si>
  <si>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</si>
  <si>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</si>
  <si>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</si>
  <si>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</si>
  <si>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</si>
  <si>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</si>
  <si>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</si>
  <si>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</si>
  <si>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</si>
  <si>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</si>
  <si>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</si>
  <si>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</si>
  <si>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</si>
  <si>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</si>
  <si>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</si>
  <si>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</si>
  <si>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</si>
  <si>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</si>
  <si>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</si>
  <si>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</si>
  <si>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</si>
  <si>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</si>
  <si>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</si>
  <si>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</si>
  <si>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</si>
  <si>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</si>
  <si>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</si>
  <si>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</si>
  <si>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</si>
  <si>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</si>
  <si>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</si>
  <si>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</si>
  <si>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</si>
  <si>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</si>
  <si>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</si>
  <si>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</si>
  <si>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</si>
  <si>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</si>
  <si>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</si>
  <si>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</si>
  <si>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</si>
  <si>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</si>
  <si>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</si>
  <si>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</si>
  <si>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</si>
  <si>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</si>
  <si>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</si>
  <si>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</si>
  <si>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</si>
  <si>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</si>
  <si>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</si>
  <si>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</si>
  <si>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</si>
  <si>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</si>
  <si>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</si>
  <si>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</si>
  <si>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</si>
  <si>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</si>
  <si>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</si>
  <si>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</si>
  <si>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</si>
  <si>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</si>
  <si>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</si>
  <si>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</si>
  <si>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</si>
  <si>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</si>
  <si>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</si>
  <si>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</si>
  <si>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</si>
  <si>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</si>
  <si>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</si>
  <si>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</si>
  <si>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</si>
  <si>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</si>
  <si>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</si>
  <si>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</si>
  <si>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</si>
  <si>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</si>
  <si>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</si>
  <si>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</si>
  <si>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</si>
  <si>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</si>
  <si>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</si>
  <si>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</si>
  <si>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</si>
  <si>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</si>
  <si>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</si>
  <si>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</si>
  <si>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</si>
  <si>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</si>
  <si>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</si>
  <si>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</si>
  <si>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</si>
  <si>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</si>
  <si>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</si>
  <si>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</si>
  <si>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</si>
  <si>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</si>
  <si>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</si>
  <si>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</si>
  <si>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</si>
  <si>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</si>
  <si>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</si>
  <si>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</si>
  <si>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</si>
  <si>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</si>
  <si>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</si>
  <si>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</si>
  <si>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</si>
  <si>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</si>
  <si>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</si>
  <si>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</si>
  <si>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</si>
  <si>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</si>
  <si>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</si>
  <si>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</si>
  <si>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</si>
  <si>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</si>
  <si>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</si>
  <si>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</si>
  <si>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</si>
  <si>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</si>
  <si>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</si>
  <si>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</si>
  <si>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</si>
  <si>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</si>
  <si>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</si>
  <si>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</si>
  <si>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</si>
  <si>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</si>
  <si>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</si>
  <si>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</si>
  <si>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</si>
  <si>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</si>
  <si>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</si>
  <si>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</si>
  <si>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</si>
  <si>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</si>
  <si>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</si>
  <si>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</si>
  <si>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</si>
  <si>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</si>
  <si>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</si>
  <si>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</si>
  <si>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</si>
  <si>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</si>
  <si>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</si>
  <si>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</si>
  <si>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</si>
  <si>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</si>
  <si>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</si>
  <si>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</si>
  <si>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</si>
  <si>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</si>
  <si>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</si>
  <si>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</si>
  <si>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</si>
  <si>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</si>
  <si>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</si>
  <si>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</si>
  <si>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</si>
  <si>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</si>
  <si>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</si>
  <si>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</si>
  <si>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</si>
  <si>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</si>
  <si>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</si>
  <si>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</si>
  <si>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</si>
  <si>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</si>
  <si>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</si>
  <si>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</si>
  <si>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</si>
  <si>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</si>
  <si>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</si>
  <si>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</si>
  <si>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</si>
  <si>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</si>
  <si>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</si>
  <si>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</si>
  <si>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</si>
  <si>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</si>
  <si>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</si>
  <si>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</si>
  <si>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</si>
  <si>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</si>
  <si>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</si>
  <si>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</si>
  <si>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</si>
  <si>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</si>
  <si>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</si>
  <si>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</si>
  <si>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</si>
  <si>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</si>
  <si>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</si>
  <si>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</si>
  <si>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</si>
  <si>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</si>
  <si>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</si>
  <si>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</si>
  <si>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</si>
  <si>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</si>
  <si>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</si>
  <si>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</si>
  <si>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</si>
  <si>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</si>
  <si>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</si>
  <si>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</si>
  <si>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</si>
  <si>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</si>
  <si>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</si>
  <si>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</si>
  <si>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</si>
  <si>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</si>
  <si>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</si>
  <si>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</si>
  <si>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</si>
  <si>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</si>
  <si>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</si>
  <si>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</si>
  <si>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</si>
  <si>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</si>
  <si>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</si>
  <si>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</si>
  <si>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</si>
  <si>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</si>
  <si>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</si>
  <si>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</si>
  <si>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</si>
  <si>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</si>
  <si>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</si>
  <si>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</si>
  <si>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</si>
  <si>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</si>
  <si>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</si>
  <si>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</si>
  <si>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</si>
  <si>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</si>
  <si>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</si>
  <si>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</si>
  <si>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</si>
  <si>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</si>
  <si>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</si>
  <si>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</si>
  <si>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</si>
  <si>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</si>
  <si>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</si>
  <si>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</si>
  <si>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</si>
  <si>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</si>
  <si>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</si>
  <si>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</si>
  <si>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</si>
  <si>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</si>
  <si>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</si>
  <si>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</si>
  <si>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</si>
  <si>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</si>
  <si>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</si>
  <si>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</si>
  <si>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</si>
  <si>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</si>
  <si>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</si>
  <si>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</si>
  <si>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</si>
  <si>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</si>
  <si>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</si>
  <si>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</si>
  <si>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</si>
  <si>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</si>
  <si>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</si>
  <si>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</si>
  <si>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</si>
  <si>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</si>
  <si>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</si>
  <si>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</si>
  <si>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</si>
  <si>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</si>
  <si>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</si>
  <si>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</si>
  <si>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</si>
  <si>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</si>
  <si>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</si>
  <si>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</si>
  <si>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</si>
  <si>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</si>
  <si>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</si>
  <si>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</si>
  <si>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</si>
  <si>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</si>
  <si>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</si>
  <si>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</si>
  <si>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</si>
  <si>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</si>
  <si>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</si>
  <si>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</si>
  <si>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</si>
  <si>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</si>
  <si>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</si>
  <si>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</si>
  <si>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</si>
  <si>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</si>
  <si>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</si>
  <si>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</si>
  <si>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</si>
  <si>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</si>
  <si>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</si>
  <si>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</si>
  <si>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</si>
  <si>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</si>
  <si>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</si>
  <si>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</si>
  <si>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</si>
  <si>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</si>
  <si>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</si>
  <si>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</si>
  <si>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</si>
  <si>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</si>
  <si>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</si>
  <si>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</si>
  <si>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</si>
  <si>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</si>
  <si>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</si>
  <si>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</si>
  <si>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</si>
  <si>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</si>
  <si>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</si>
  <si>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</si>
  <si>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</si>
  <si>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</si>
  <si>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</si>
  <si>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</si>
  <si>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</si>
  <si>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</si>
  <si>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</si>
  <si>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</si>
  <si>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</si>
  <si>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</si>
  <si>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</si>
  <si>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</si>
  <si>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</si>
  <si>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</si>
  <si>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</si>
  <si>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</si>
  <si>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</si>
  <si>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</si>
  <si>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</si>
  <si>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</si>
  <si>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</si>
  <si>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</si>
  <si>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</si>
  <si>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</si>
  <si>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</si>
  <si>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</si>
  <si>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</si>
  <si>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</si>
  <si>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</si>
  <si>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</si>
  <si>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</si>
  <si>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</si>
  <si>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</si>
  <si>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</si>
  <si>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</si>
  <si>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</si>
  <si>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</si>
  <si>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</si>
  <si>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</si>
  <si>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</si>
  <si>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</si>
  <si>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</si>
  <si>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</si>
  <si>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</si>
  <si>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</si>
  <si>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</si>
  <si>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</si>
  <si>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</si>
  <si>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</si>
  <si>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</si>
  <si>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</si>
  <si>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</si>
  <si>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</si>
  <si>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</si>
  <si>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</si>
  <si>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</si>
  <si>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</si>
  <si>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</si>
  <si>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</si>
  <si>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</si>
  <si>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</si>
  <si>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</si>
  <si>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</si>
  <si>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</si>
  <si>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</si>
  <si>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</si>
  <si>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</si>
  <si>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</si>
  <si>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</si>
  <si>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</si>
  <si>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</si>
  <si>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</si>
  <si>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</si>
  <si>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</si>
  <si>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</si>
  <si>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</si>
  <si>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</si>
  <si>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</si>
  <si>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</si>
  <si>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</si>
  <si>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</si>
  <si>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</si>
  <si>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</si>
  <si>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</si>
  <si>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</si>
  <si>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</si>
  <si>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</si>
  <si>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</si>
  <si>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</si>
  <si>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</si>
  <si>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</si>
  <si>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</si>
  <si>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</si>
  <si>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</si>
  <si>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</si>
  <si>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</si>
  <si>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</si>
  <si>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</si>
  <si>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</si>
  <si>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</si>
  <si>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</si>
  <si>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</si>
  <si>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</si>
  <si>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</si>
  <si>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</si>
  <si>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</si>
  <si>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</si>
  <si>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</si>
  <si>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</si>
  <si>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</si>
  <si>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</si>
  <si>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</si>
  <si>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</si>
  <si>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</si>
  <si>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</si>
  <si>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</si>
  <si>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</si>
  <si>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</si>
  <si>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</si>
  <si>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</si>
  <si>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</si>
  <si>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</si>
  <si>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</si>
  <si>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</si>
  <si>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</si>
  <si>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</si>
  <si>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</si>
  <si>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</si>
  <si>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</si>
  <si>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</si>
  <si>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</si>
  <si>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</si>
  <si>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</si>
  <si>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</si>
  <si>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</si>
  <si>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</si>
  <si>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</si>
  <si>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</si>
  <si>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</si>
  <si>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</si>
  <si>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</si>
  <si>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</si>
  <si>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</si>
  <si>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</si>
  <si>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</si>
  <si>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</si>
  <si>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</si>
  <si>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</si>
  <si>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</si>
  <si>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</si>
  <si>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</si>
  <si>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</si>
  <si>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</si>
  <si>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</si>
  <si>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</si>
  <si>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</si>
  <si>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</si>
  <si>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</si>
  <si>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</si>
  <si>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</si>
  <si>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</si>
  <si>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</si>
  <si>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</si>
  <si>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</si>
  <si>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</si>
  <si>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</si>
  <si>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</si>
  <si>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</si>
  <si>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</si>
  <si>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</si>
  <si>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</si>
  <si>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</si>
  <si>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</si>
  <si>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</si>
  <si>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</si>
  <si>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</si>
  <si>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</si>
  <si>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</si>
  <si>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</si>
  <si>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</si>
  <si>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</si>
  <si>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</si>
  <si>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</si>
  <si>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</si>
  <si>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</si>
  <si>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</si>
  <si>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</si>
  <si>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</si>
  <si>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</si>
  <si>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</si>
  <si>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</si>
  <si>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</si>
  <si>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</si>
  <si>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</si>
  <si>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</si>
  <si>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</si>
  <si>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</si>
  <si>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</si>
  <si>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</si>
  <si>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</si>
  <si>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</si>
  <si>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</si>
  <si>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</si>
  <si>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</si>
  <si>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</si>
  <si>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</si>
  <si>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</si>
  <si>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</si>
  <si>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</si>
  <si>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</si>
  <si>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</si>
  <si>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</si>
  <si>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</si>
  <si>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</si>
  <si>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</si>
  <si>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</si>
  <si>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</si>
  <si>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</si>
  <si>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</si>
  <si>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</si>
  <si>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</si>
  <si>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</si>
  <si>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</si>
  <si>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</si>
  <si>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</si>
  <si>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</si>
  <si>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</si>
  <si>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</si>
  <si>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</si>
  <si>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</si>
  <si>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</si>
  <si>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</si>
  <si>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</si>
  <si>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</si>
  <si>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</si>
  <si>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</si>
  <si>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</si>
  <si>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</si>
  <si>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</si>
  <si>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</si>
  <si>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</si>
  <si>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</si>
  <si>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</si>
  <si>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</si>
  <si>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</si>
  <si>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</si>
  <si>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</si>
  <si>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</si>
  <si>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</si>
  <si>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</si>
  <si>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</si>
  <si>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</si>
  <si>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</si>
  <si>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</si>
  <si>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</si>
  <si>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</si>
  <si>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</si>
  <si>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</si>
  <si>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</si>
  <si>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</si>
  <si>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</si>
  <si>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</si>
  <si>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</si>
  <si>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</si>
  <si>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</si>
  <si>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</si>
  <si>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</si>
  <si>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</si>
  <si>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</si>
  <si>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</si>
  <si>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</si>
  <si>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</si>
  <si>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</si>
  <si>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</si>
  <si>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</si>
  <si>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</si>
  <si>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</si>
  <si>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</si>
  <si>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</si>
  <si>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</si>
  <si>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</si>
  <si>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</si>
  <si>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</si>
  <si>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</si>
  <si>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</si>
  <si>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</si>
  <si>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</si>
  <si>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</si>
  <si>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</si>
  <si>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</si>
  <si>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</si>
  <si>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</si>
  <si>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</si>
  <si>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</si>
  <si>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</si>
  <si>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</si>
  <si>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</si>
  <si>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</si>
  <si>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</si>
  <si>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</si>
  <si>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</si>
  <si>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</si>
  <si>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</si>
  <si>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</si>
  <si>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</si>
  <si>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</si>
  <si>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</si>
  <si>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</si>
  <si>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</si>
  <si>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</si>
  <si>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</si>
  <si>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</si>
  <si>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</si>
  <si>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</si>
  <si>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</si>
  <si>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</si>
  <si>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</si>
  <si>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</si>
  <si>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</si>
  <si>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</si>
  <si>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</si>
  <si>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</si>
  <si>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</si>
  <si>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</si>
  <si>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</si>
  <si>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</si>
  <si>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</si>
  <si>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</si>
  <si>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</si>
  <si>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</si>
  <si>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</si>
  <si>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</si>
  <si>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</si>
  <si>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</si>
  <si>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</si>
  <si>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</si>
  <si>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</si>
  <si>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</si>
  <si>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</si>
  <si>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</si>
  <si>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</si>
  <si>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</si>
  <si>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</si>
  <si>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</si>
  <si>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</si>
  <si>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</si>
  <si>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</si>
  <si>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</si>
  <si>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</si>
  <si>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</si>
  <si>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</si>
  <si>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</si>
  <si>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</si>
  <si>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</si>
  <si>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</si>
  <si>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</si>
  <si>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</si>
  <si>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</si>
  <si>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</si>
  <si>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</si>
  <si>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</si>
  <si>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</si>
  <si>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</si>
  <si>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</si>
  <si>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</si>
  <si>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</si>
  <si>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</si>
  <si>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</si>
  <si>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</si>
  <si>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</si>
  <si>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</si>
  <si>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</si>
  <si>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</si>
  <si>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</si>
  <si>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</si>
  <si>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</si>
  <si>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</si>
  <si>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</si>
  <si>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</si>
  <si>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</si>
  <si>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</si>
  <si>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</si>
  <si>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</si>
  <si>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</si>
  <si>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</si>
  <si>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</si>
  <si>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</si>
  <si>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</si>
  <si>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</si>
  <si>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</si>
  <si>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</si>
  <si>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</si>
  <si>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</si>
  <si>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</si>
  <si>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</si>
  <si>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</si>
  <si>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</si>
  <si>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</si>
  <si>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</si>
  <si>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</si>
  <si>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</si>
  <si>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</si>
  <si>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</si>
  <si>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</si>
  <si>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</si>
  <si>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</si>
  <si>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</si>
  <si>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</si>
  <si>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</si>
  <si>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</si>
  <si>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</si>
  <si>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</si>
  <si>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</si>
  <si>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</si>
  <si>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</si>
  <si>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</si>
  <si>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</si>
  <si>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</si>
  <si>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</si>
  <si>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</si>
  <si>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</si>
  <si>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</si>
  <si>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</si>
  <si>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</si>
  <si>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</si>
  <si>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</si>
  <si>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</si>
  <si>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</si>
  <si>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</si>
  <si>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</si>
  <si>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</si>
  <si>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</si>
  <si>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</si>
  <si>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</si>
  <si>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</si>
  <si>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</si>
  <si>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</si>
  <si>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</si>
  <si>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</si>
  <si>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</si>
  <si>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</si>
  <si>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</si>
  <si>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</si>
  <si>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</si>
  <si>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</si>
  <si>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</si>
  <si>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</si>
  <si>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</si>
  <si>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</si>
  <si>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</si>
  <si>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</si>
  <si>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</si>
  <si>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</si>
  <si>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</si>
  <si>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</si>
  <si>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</si>
  <si>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</si>
  <si>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</si>
  <si>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</si>
  <si>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</si>
  <si>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</si>
  <si>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</si>
  <si>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</si>
  <si>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</si>
  <si>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</si>
  <si>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</si>
  <si>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</si>
  <si>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</si>
  <si>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</si>
  <si>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</si>
  <si>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</si>
  <si>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</si>
  <si>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</si>
  <si>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</si>
  <si>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</si>
  <si>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</si>
  <si>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</si>
  <si>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</si>
  <si>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</si>
  <si>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</si>
  <si>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</si>
  <si>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</si>
  <si>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</si>
  <si>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</si>
  <si>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</si>
  <si>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</si>
  <si>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</si>
  <si>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</si>
  <si>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</si>
  <si>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</si>
  <si>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</si>
  <si>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</si>
  <si>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</si>
  <si>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</si>
  <si>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</si>
  <si>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</si>
  <si>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</si>
  <si>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</si>
  <si>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</si>
  <si>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</si>
  <si>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</si>
  <si>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</si>
  <si>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</si>
  <si>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</si>
  <si>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</si>
  <si>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</si>
  <si>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</si>
  <si>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</si>
  <si>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</si>
  <si>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</si>
  <si>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</si>
  <si>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</si>
  <si>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</si>
  <si>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</si>
  <si>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</si>
  <si>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</si>
  <si>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</si>
  <si>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</si>
  <si>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</si>
  <si>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</si>
  <si>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</si>
  <si>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</si>
  <si>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</si>
  <si>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</si>
  <si>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</si>
  <si>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</si>
  <si>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</si>
  <si>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</si>
  <si>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</si>
  <si>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</si>
  <si>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</si>
  <si>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</si>
  <si>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</si>
  <si>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</si>
  <si>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</si>
  <si>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</si>
  <si>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</si>
  <si>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</si>
  <si>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</si>
  <si>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</si>
  <si>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</si>
  <si>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</si>
  <si>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</si>
  <si>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</si>
  <si>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</si>
  <si>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</si>
  <si>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</si>
  <si>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</si>
  <si>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</si>
  <si>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</si>
  <si>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</si>
  <si>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</si>
  <si>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</si>
  <si>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</si>
  <si>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</si>
  <si>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</si>
  <si>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</si>
  <si>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</si>
  <si>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</si>
  <si>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</si>
  <si>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</si>
  <si>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</si>
  <si>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</si>
  <si>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</si>
  <si>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</si>
  <si>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</si>
  <si>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</si>
  <si>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</si>
  <si>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</si>
  <si>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</si>
  <si>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</si>
  <si>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</si>
  <si>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</si>
  <si>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</si>
  <si>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</si>
  <si>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</si>
  <si>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</si>
  <si>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</si>
  <si>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</si>
  <si>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</si>
  <si>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</si>
  <si>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</si>
  <si>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</si>
  <si>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</si>
  <si>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</si>
  <si>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</si>
  <si>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</si>
  <si>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</si>
  <si>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</si>
  <si>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</si>
  <si>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</si>
  <si>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</si>
  <si>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</si>
  <si>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</si>
  <si>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</si>
  <si>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</si>
  <si>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</si>
  <si>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</si>
  <si>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</si>
  <si>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</si>
  <si>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</si>
  <si>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</si>
  <si>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</si>
  <si>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</si>
  <si>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</si>
  <si>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</si>
  <si>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</si>
  <si>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</si>
  <si>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</si>
  <si>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</si>
  <si>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</si>
  <si>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</si>
  <si>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</si>
  <si>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</si>
  <si>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</si>
  <si>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</si>
  <si>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</si>
  <si>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</si>
  <si>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</si>
  <si>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</si>
  <si>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</si>
  <si>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</si>
  <si>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</si>
  <si>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</si>
  <si>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</si>
  <si>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</si>
  <si>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</si>
  <si>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</si>
  <si>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</si>
  <si>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</si>
  <si>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</si>
  <si>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</si>
  <si>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</si>
  <si>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</si>
  <si>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</si>
  <si>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</si>
  <si>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</si>
  <si>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</si>
  <si>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</si>
  <si>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</si>
  <si>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</si>
  <si>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</si>
  <si>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</si>
  <si>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</si>
  <si>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</si>
  <si>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</si>
  <si>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</si>
  <si>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</si>
  <si>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</si>
  <si>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</si>
  <si>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</si>
  <si>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</si>
  <si>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</si>
  <si>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</si>
  <si>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</si>
  <si>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</si>
  <si>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</si>
  <si>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</si>
  <si>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</si>
  <si>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</si>
  <si>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</si>
  <si>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</si>
  <si>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</si>
  <si>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</si>
  <si>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</si>
  <si>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</si>
  <si>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</si>
  <si>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</si>
  <si>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</si>
  <si>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</si>
  <si>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</si>
  <si>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</si>
  <si>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</si>
  <si>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</si>
  <si>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</si>
  <si>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</si>
  <si>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</si>
  <si>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</si>
  <si>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</si>
  <si>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</si>
  <si>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</si>
  <si>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</si>
  <si>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</si>
  <si>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</si>
  <si>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</si>
  <si>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</si>
  <si>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</si>
  <si>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</si>
  <si>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</si>
  <si>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</si>
  <si>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</si>
  <si>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</si>
  <si>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</si>
  <si>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</si>
  <si>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</si>
  <si>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</si>
  <si>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</si>
  <si>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</si>
  <si>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</si>
  <si>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</si>
  <si>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</si>
  <si>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</si>
  <si>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</si>
  <si>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</si>
  <si>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</si>
  <si>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</si>
  <si>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</si>
  <si>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</si>
  <si>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</si>
  <si>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</si>
  <si>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</si>
  <si>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</si>
  <si>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</si>
  <si>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</si>
  <si>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</si>
  <si>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</si>
  <si>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</si>
  <si>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</si>
  <si>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</si>
  <si>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</si>
  <si>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</si>
  <si>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</si>
  <si>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</si>
  <si>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</si>
  <si>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</si>
  <si>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</si>
  <si>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</si>
  <si>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</si>
  <si>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</si>
  <si>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</si>
  <si>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</si>
  <si>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</si>
  <si>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</si>
  <si>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</si>
  <si>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</si>
  <si>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</si>
  <si>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</si>
  <si>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</si>
  <si>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</si>
  <si>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</si>
  <si>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</si>
  <si>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</si>
  <si>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</si>
  <si>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</si>
  <si>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</si>
  <si>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</si>
  <si>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</si>
  <si>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</si>
  <si>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</si>
  <si>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</si>
  <si>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</si>
  <si>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</si>
  <si>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</si>
  <si>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</si>
  <si>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</si>
  <si>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</si>
  <si>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</si>
  <si>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</si>
  <si>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</si>
  <si>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</si>
  <si>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</si>
  <si>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</si>
  <si>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</si>
  <si>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</si>
  <si>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</si>
  <si>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</si>
  <si>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</si>
  <si>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</si>
  <si>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</si>
  <si>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</si>
  <si>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</si>
  <si>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</si>
  <si>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</si>
  <si>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</si>
  <si>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</si>
  <si>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</si>
  <si>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</si>
  <si>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</si>
  <si>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</si>
  <si>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</si>
  <si>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</si>
  <si>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</si>
  <si>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</si>
  <si>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</si>
  <si>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</si>
  <si>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</si>
  <si>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</si>
  <si>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</si>
  <si>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</si>
  <si>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</si>
  <si>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</si>
  <si>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</si>
  <si>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</si>
  <si>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</si>
  <si>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</si>
  <si>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</si>
  <si>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</si>
  <si>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</si>
  <si>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</si>
  <si>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</si>
  <si>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</si>
  <si>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</si>
  <si>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</si>
  <si>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</si>
  <si>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</si>
  <si>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</si>
  <si>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</si>
  <si>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</si>
  <si>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</si>
  <si>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</si>
  <si>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</si>
  <si>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</si>
  <si>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</si>
  <si>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</si>
  <si>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</si>
  <si>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</si>
  <si>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</si>
  <si>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</si>
  <si>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</si>
  <si>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</si>
  <si>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</si>
  <si>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</si>
  <si>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</si>
  <si>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</si>
  <si>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</si>
  <si>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</si>
  <si>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</si>
  <si>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</si>
  <si>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</si>
  <si>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</si>
  <si>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</si>
  <si>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</si>
  <si>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</si>
  <si>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</si>
  <si>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</si>
  <si>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</si>
  <si>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</si>
  <si>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</si>
  <si>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</si>
  <si>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</si>
  <si>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% Funded</t>
  </si>
  <si>
    <t>Avg Donation</t>
  </si>
  <si>
    <t>Parent Category</t>
  </si>
  <si>
    <t>Sub Category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</si>
  <si>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</si>
  <si>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</si>
  <si>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</si>
  <si>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</si>
  <si>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</si>
  <si>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</si>
  <si>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</si>
  <si>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</si>
  <si>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</si>
  <si>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</si>
  <si>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</si>
  <si>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Row Labels</t>
  </si>
  <si>
    <t>Count of outcome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</si>
  <si>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</si>
  <si>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</si>
  <si>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</si>
  <si>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</si>
  <si>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</si>
  <si>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</si>
  <si>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</si>
  <si>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</si>
  <si>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</si>
  <si>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</si>
  <si>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</si>
  <si>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</si>
  <si>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</si>
  <si>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</si>
  <si>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</si>
  <si>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</si>
  <si>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</si>
  <si>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</si>
  <si>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</si>
  <si>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</si>
  <si>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</si>
  <si>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</si>
  <si>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</si>
  <si>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</si>
  <si>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</si>
  <si>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</si>
  <si>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</si>
  <si>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</si>
  <si>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</si>
  <si>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</si>
  <si>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</si>
  <si>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</si>
  <si>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</si>
  <si>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</si>
  <si>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</si>
  <si>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</si>
  <si>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</si>
  <si>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</si>
  <si>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</si>
  <si>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</si>
  <si>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Average of % Funded</t>
  </si>
  <si>
    <t>Outcome</t>
  </si>
  <si>
    <t>Backers_count</t>
  </si>
  <si>
    <t>Successful</t>
  </si>
  <si>
    <t>Failed</t>
  </si>
  <si>
    <t>mean</t>
  </si>
  <si>
    <t>median</t>
  </si>
  <si>
    <t>min</t>
  </si>
  <si>
    <t>max</t>
  </si>
  <si>
    <t>Variance</t>
  </si>
  <si>
    <t>variance</t>
  </si>
  <si>
    <t>St.Dev</t>
  </si>
  <si>
    <t>1st quartile</t>
  </si>
  <si>
    <t>3rd quartile</t>
  </si>
  <si>
    <t>IQR</t>
  </si>
  <si>
    <t>IQR * 1.5</t>
  </si>
  <si>
    <t>Lower Bound</t>
  </si>
  <si>
    <t>Upper Bound</t>
  </si>
  <si>
    <t>Goal</t>
  </si>
  <si>
    <t>Number Successful</t>
  </si>
  <si>
    <t>Number Failed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</si>
  <si>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</si>
  <si>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</si>
  <si>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</si>
  <si>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</si>
  <si>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</si>
  <si>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</si>
  <si>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</si>
  <si>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</si>
  <si>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</si>
  <si>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</si>
  <si>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</si>
  <si>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</si>
  <si>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</si>
  <si>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</si>
  <si>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</si>
  <si>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</si>
  <si>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Number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</si>
</sst>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  <font>
      <sz val="9"/>
      <color rgb="FF00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16" fillId="0" borderId="0" xfId="43" applyNumberFormat="1" applyFont="1" applyAlignment="1">
      <alignment horizontal="center"/>
    </xf>
    <xf numFmtId="10" fontId="0" fillId="0" borderId="0" xfId="43" applyNumberFormat="1" applyFont="1"/>
    <xf numFmtId="44" fontId="16" fillId="0" borderId="0" xfId="42" applyFont="1" applyAlignment="1">
      <alignment horizontal="center"/>
    </xf>
    <xf numFmtId="44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14" fontId="18" fillId="0" borderId="0" xfId="0" applyNumberFormat="1" applyFont="1"/>
    <xf numFmtId="14" fontId="0" fillId="0" borderId="0" xfId="0" applyNumberFormat="1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43" applyNumberFormat="1" applyFont="1"/>
    <xf numFmtId="0" fontId="0" fillId="33" borderId="0" xfId="0" applyFill="1"/>
    <xf numFmtId="0" fontId="0" fillId="34" borderId="0" xfId="0" applyFill="1"/>
    <xf numFmtId="1" fontId="0" fillId="0" borderId="0" xfId="0" applyNumberFormat="1"/>
    <xf numFmtId="0" fontId="19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[CrowdfundingBook.xlsm]Category Outcomes!PivotTable1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Outcomes'!$C$2:$C$3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Outcomes'!$B$4:$B$13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Outcomes'!$C$4:$C$13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F-4C8C-AD75-3940A4419033}"/>
            </c:ext>
          </c:extLst>
        </c:ser>
        <c:ser>
          <c:idx val="1"/>
          <c:order val="1"/>
          <c:tx>
            <c:strRef>
              <c:f>'Category Outcomes'!$D$2:$D$3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Outcomes'!$B$4:$B$13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Outcomes'!$D$4:$D$13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F-4C8C-AD75-3940A4419033}"/>
            </c:ext>
          </c:extLst>
        </c:ser>
        <c:ser>
          <c:idx val="2"/>
          <c:order val="2"/>
          <c:tx>
            <c:strRef>
              <c:f>'Category Outcomes'!$E$2:$E$3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Outcomes'!$B$4:$B$13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Outcomes'!$E$4:$E$13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F-4C8C-AD75-3940A4419033}"/>
            </c:ext>
          </c:extLst>
        </c:ser>
        <c:ser>
          <c:idx val="3"/>
          <c:order val="3"/>
          <c:tx>
            <c:strRef>
              <c:f>'Category Outcomes'!$F$2:$F$3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Outcomes'!$B$4:$B$13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Outcomes'!$F$4:$F$13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F-4C8C-AD75-3940A4419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8199344"/>
        <c:axId val="648201264"/>
      </c:barChart>
      <c:catAx>
        <c:axId val="64819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01264"/>
        <c:crosses val="autoZero"/>
        <c:auto val="1"/>
        <c:lblAlgn val="ctr"/>
        <c:lblOffset val="100"/>
        <c:noMultiLvlLbl val="0"/>
      </c:catAx>
      <c:valAx>
        <c:axId val="64820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19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[CrowdfundingBook.xlsm]SubCategory Outcomes!PivotTable2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Outcomes'!$C$6:$C$7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Outcomes'!$B$8:$B$32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Outcomes'!$C$8:$C$32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0-4ECD-BEAA-644287825B4F}"/>
            </c:ext>
          </c:extLst>
        </c:ser>
        <c:ser>
          <c:idx val="1"/>
          <c:order val="1"/>
          <c:tx>
            <c:strRef>
              <c:f>'SubCategory Outcomes'!$D$6:$D$7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Outcomes'!$B$8:$B$32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Outcomes'!$D$8:$D$32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70-4ECD-BEAA-644287825B4F}"/>
            </c:ext>
          </c:extLst>
        </c:ser>
        <c:ser>
          <c:idx val="2"/>
          <c:order val="2"/>
          <c:tx>
            <c:strRef>
              <c:f>'SubCategory Outcomes'!$E$6:$E$7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Outcomes'!$B$8:$B$32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Outcomes'!$E$8:$E$32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70-4ECD-BEAA-644287825B4F}"/>
            </c:ext>
          </c:extLst>
        </c:ser>
        <c:ser>
          <c:idx val="3"/>
          <c:order val="3"/>
          <c:tx>
            <c:strRef>
              <c:f>'SubCategory Outcomes'!$F$6:$F$7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Outcomes'!$B$8:$B$32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 Outcomes'!$F$8:$F$32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70-4ECD-BEAA-644287825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033968"/>
        <c:axId val="1459034448"/>
      </c:barChart>
      <c:catAx>
        <c:axId val="145903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034448"/>
        <c:crosses val="autoZero"/>
        <c:auto val="1"/>
        <c:lblAlgn val="ctr"/>
        <c:lblOffset val="100"/>
        <c:noMultiLvlLbl val="0"/>
      </c:catAx>
      <c:valAx>
        <c:axId val="145903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03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[CrowdfundingBook.xlsm]Parent Category Outcomes!PivotTable3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'Parent Category Outcomes'!$C$4:$C$5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'Parent Category Outcomes'!$B$6:$B$18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'Parent Category Outcomes'!$C$6:$C$18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2-4901-90F1-E2CAE8543FF9}"/>
            </c:ext>
          </c:extLst>
        </c:ser>
        <c:ser>
          <c:idx val="1"/>
          <c:order val="1"/>
          <c:tx>
            <c:strRef>
              <c:f>'Parent Category Outcomes'!$D$4:$D$5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'Parent Category Outcomes'!$B$6:$B$18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'Parent Category Outcomes'!$D$6:$D$18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D2-4901-90F1-E2CAE8543FF9}"/>
            </c:ext>
          </c:extLst>
        </c:ser>
        <c:ser>
          <c:idx val="2"/>
          <c:order val="2"/>
          <c:tx>
            <c:strRef>
              <c:f>'Parent Category Outcomes'!$E$4:$E$5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'Parent Category Outcomes'!$B$6:$B$18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'Parent Category Outcomes'!$E$6:$E$18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D2-4901-90F1-E2CAE8543FF9}"/>
            </c:ext>
          </c:extLst>
        </c:ser>
        <c:ser>
          <c:idx val="3"/>
          <c:order val="3"/>
          <c:tx>
            <c:strRef>
              <c:f>'Parent Category Outcomes'!$F$4:$F$5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'Parent Category Outcomes'!$B$6:$B$18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'Parent Category Outcomes'!$F$6:$F$18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D2-4901-90F1-E2CAE854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597504"/>
        <c:axId val="1445207616"/>
      </c:lineChart>
      <c:catAx>
        <c:axId val="176959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207616"/>
        <c:crosses val="autoZero"/>
        <c:auto val="1"/>
        <c:lblAlgn val="ctr"/>
        <c:lblOffset val="100"/>
        <c:noMultiLvlLbl val="0"/>
      </c:catAx>
      <c:valAx>
        <c:axId val="144520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5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Outcomes Based</a:t>
            </a:r>
            <a:r>
              <a:rPr lang="en-AU" baseline="0"/>
              <a:t>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Goals!$H$1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Goals!$H$2:$H$13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C1-4CE3-8DB3-1ECC893F18DB}"/>
            </c:ext>
          </c:extLst>
        </c:ser>
        <c:ser>
          <c:idx val="1"/>
          <c:order val="1"/>
          <c:tx>
            <c:strRef>
              <c:f>Goals!$I$1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Goals!$I$2:$I$13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1-4CE3-8DB3-1ECC893F18DB}"/>
            </c:ext>
          </c:extLst>
        </c:ser>
        <c:ser>
          <c:idx val="2"/>
          <c:order val="2"/>
          <c:tx>
            <c:strRef>
              <c:f>Goals!$J$1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Goals!$J$2:$J$13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C1-4CE3-8DB3-1ECC893F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8834144"/>
        <c:axId val="1054743728"/>
      </c:lineChart>
      <c:catAx>
        <c:axId val="201883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743728"/>
        <c:crosses val="autoZero"/>
        <c:auto val="1"/>
        <c:lblAlgn val="ctr"/>
        <c:lblOffset val="100"/>
        <c:noMultiLvlLbl val="0"/>
      </c:catAx>
      <c:valAx>
        <c:axId val="105474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3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546174</xdr:colOff>
      <xdr:row>0</xdr:row>
      <xdr:rowOff>104213</xdr:rowOff>
    </xdr:from>
    <xdr:to>
      <xdr:col>16</xdr:col>
      <xdr:colOff>283508</xdr:colOff>
      <xdr:row>27</xdr:row>
      <xdr:rowOff>6723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27AE79-A7BE-B995-4323-55DB495BB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242454</xdr:colOff>
      <xdr:row>1</xdr:row>
      <xdr:rowOff>14845</xdr:rowOff>
    </xdr:from>
    <xdr:to>
      <xdr:col>20</xdr:col>
      <xdr:colOff>391885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751922-3F60-44B4-A2EE-D17B7C171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3</xdr:row>
      <xdr:rowOff>19050</xdr:rowOff>
    </xdr:from>
    <xdr:to>
      <xdr:col>16</xdr:col>
      <xdr:colOff>15240</xdr:colOff>
      <xdr:row>18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F047BB-6C3C-8FC8-3D4A-E46337036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576261</xdr:colOff>
      <xdr:row>13</xdr:row>
      <xdr:rowOff>176211</xdr:rowOff>
    </xdr:from>
    <xdr:to>
      <xdr:col>9</xdr:col>
      <xdr:colOff>638175</xdr:colOff>
      <xdr:row>30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6C84A-BBDF-F0E3-B507-34B8A193B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sistant" refreshedDate="45075.642079398145" createdVersion="8" refreshedVersion="8" minRefreshableVersion="3" recordCount="1000" xr:uid="{E6D8BFD5-3F08-4C22-A034-C82AE0EB26A7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 count="964">
        <n v="0"/>
        <n v="14560"/>
        <n v="142523"/>
        <n v="2477"/>
        <n v="5265"/>
        <n v="13195"/>
        <n v="1090"/>
        <n v="14741"/>
        <n v="21946"/>
        <n v="3208"/>
        <n v="13838"/>
        <n v="3030"/>
        <n v="5629"/>
        <n v="10295"/>
        <n v="18829"/>
        <n v="38414"/>
        <n v="11041"/>
        <n v="134845"/>
        <n v="6089"/>
        <n v="30331"/>
        <n v="147936"/>
        <n v="38533"/>
        <n v="75690"/>
        <n v="14942"/>
        <n v="104257"/>
        <n v="11904"/>
        <n v="51814"/>
        <n v="1599"/>
        <n v="137635"/>
        <n v="150965"/>
        <n v="14455"/>
        <n v="10850"/>
        <n v="87676"/>
        <n v="189666"/>
        <n v="14025"/>
        <n v="188628"/>
        <n v="1101"/>
        <n v="11339"/>
        <n v="10085"/>
        <n v="5027"/>
        <n v="14878"/>
        <n v="11924"/>
        <n v="7991"/>
        <n v="167717"/>
        <n v="10541"/>
        <n v="4530"/>
        <n v="4247"/>
        <n v="7129"/>
        <n v="128862"/>
        <n v="13653"/>
        <n v="2"/>
        <n v="145243"/>
        <n v="2459"/>
        <n v="12356"/>
        <n v="5392"/>
        <n v="11746"/>
        <n v="11493"/>
        <n v="6243"/>
        <n v="6132"/>
        <n v="3851"/>
        <n v="135997"/>
        <n v="184750"/>
        <n v="14452"/>
        <n v="557"/>
        <n v="2734"/>
        <n v="14405"/>
        <n v="1307"/>
        <n v="117892"/>
        <n v="14508"/>
        <n v="1901"/>
        <n v="158389"/>
        <n v="6484"/>
        <n v="4022"/>
        <n v="9253"/>
        <n v="4776"/>
        <n v="14606"/>
        <n v="95993"/>
        <n v="4460"/>
        <n v="13536"/>
        <n v="40228"/>
        <n v="7012"/>
        <n v="37857"/>
        <n v="14973"/>
        <n v="39996"/>
        <n v="41564"/>
        <n v="6430"/>
        <n v="12405"/>
        <n v="123040"/>
        <n v="12516"/>
        <n v="8588"/>
        <n v="74688"/>
        <n v="51775"/>
        <n v="65877"/>
        <n v="8807"/>
        <n v="1017"/>
        <n v="151513"/>
        <n v="12047"/>
        <n v="32951"/>
        <n v="14951"/>
        <n v="1"/>
        <n v="9193"/>
        <n v="10422"/>
        <n v="2461"/>
        <n v="170623"/>
        <n v="9829"/>
        <n v="14006"/>
        <n v="6527"/>
        <n v="8929"/>
        <n v="3079"/>
        <n v="21307"/>
        <n v="73653"/>
        <n v="12635"/>
        <n v="12437"/>
        <n v="13816"/>
        <n v="145382"/>
        <n v="6336"/>
        <n v="8523"/>
        <n v="6351"/>
        <n v="10748"/>
        <n v="112272"/>
        <n v="99361"/>
        <n v="88055"/>
        <n v="33092"/>
        <n v="9562"/>
        <n v="8475"/>
        <n v="69617"/>
        <n v="53067"/>
        <n v="42596"/>
        <n v="4756"/>
        <n v="14925"/>
        <n v="166116"/>
        <n v="3834"/>
        <n v="13985"/>
        <n v="89288"/>
        <n v="5488"/>
        <n v="2721"/>
        <n v="4712"/>
        <n v="9216"/>
        <n v="19246"/>
        <n v="12274"/>
        <n v="65323"/>
        <n v="11502"/>
        <n v="7322"/>
        <n v="11619"/>
        <n v="59128"/>
        <n v="1518"/>
        <n v="9337"/>
        <n v="11255"/>
        <n v="13632"/>
        <n v="88037"/>
        <n v="175573"/>
        <n v="176112"/>
        <n v="100650"/>
        <n v="90706"/>
        <n v="26914"/>
        <n v="2212"/>
        <n v="4640"/>
        <n v="191222"/>
        <n v="12985"/>
        <n v="4300"/>
        <n v="9134"/>
        <n v="8864"/>
        <n v="150755"/>
        <n v="110279"/>
        <n v="13439"/>
        <n v="10804"/>
        <n v="40107"/>
        <n v="98811"/>
        <n v="5528"/>
        <n v="521"/>
        <n v="663"/>
        <n v="157635"/>
        <n v="5368"/>
        <n v="47459"/>
        <n v="86060"/>
        <n v="161593"/>
        <n v="6927"/>
        <n v="159185"/>
        <n v="172736"/>
        <n v="5315"/>
        <n v="195750"/>
        <n v="3525"/>
        <n v="10550"/>
        <n v="718"/>
        <n v="28358"/>
        <n v="138384"/>
        <n v="2625"/>
        <n v="45004"/>
        <n v="2538"/>
        <n v="3188"/>
        <n v="8517"/>
        <n v="3012"/>
        <n v="8716"/>
        <n v="57157"/>
        <n v="5178"/>
        <n v="163118"/>
        <n v="6041"/>
        <n v="968"/>
        <n v="14305"/>
        <n v="6543"/>
        <n v="193413"/>
        <n v="2529"/>
        <n v="5614"/>
        <n v="3496"/>
        <n v="4257"/>
        <n v="199110"/>
        <n v="41212"/>
        <n v="6338"/>
        <n v="99100"/>
        <n v="12300"/>
        <n v="171549"/>
        <n v="14324"/>
        <n v="6024"/>
        <n v="188721"/>
        <n v="57911"/>
        <n v="12309"/>
        <n v="138497"/>
        <n v="667"/>
        <n v="119830"/>
        <n v="6623"/>
        <n v="81897"/>
        <n v="186885"/>
        <n v="176398"/>
        <n v="10999"/>
        <n v="102751"/>
        <n v="165352"/>
        <n v="165798"/>
        <n v="10084"/>
        <n v="5523"/>
        <n v="5823"/>
        <n v="6000"/>
        <n v="8181"/>
        <n v="3589"/>
        <n v="4323"/>
        <n v="14822"/>
        <n v="10138"/>
        <n v="3127"/>
        <n v="123124"/>
        <n v="171729"/>
        <n v="10729"/>
        <n v="10240"/>
        <n v="3988"/>
        <n v="14771"/>
        <n v="14649"/>
        <n v="184658"/>
        <n v="13103"/>
        <n v="168095"/>
        <n v="3"/>
        <n v="3840"/>
        <n v="6263"/>
        <n v="108161"/>
        <n v="8505"/>
        <n v="96735"/>
        <n v="959"/>
        <n v="8322"/>
        <n v="13424"/>
        <n v="10755"/>
        <n v="9935"/>
        <n v="26303"/>
        <n v="5328"/>
        <n v="10756"/>
        <n v="165375"/>
        <n v="6031"/>
        <n v="85902"/>
        <n v="143910"/>
        <n v="2708"/>
        <n v="8842"/>
        <n v="47260"/>
        <n v="1953"/>
        <n v="155349"/>
        <n v="10704"/>
        <n v="773"/>
        <n v="9419"/>
        <n v="5324"/>
        <n v="7465"/>
        <n v="8799"/>
        <n v="13656"/>
        <n v="14536"/>
        <n v="150552"/>
        <n v="9076"/>
        <n v="1517"/>
        <n v="8153"/>
        <n v="6357"/>
        <n v="19557"/>
        <n v="13213"/>
        <n v="5476"/>
        <n v="13474"/>
        <n v="91722"/>
        <n v="8219"/>
        <n v="717"/>
        <n v="1065"/>
        <n v="8038"/>
        <n v="68769"/>
        <n v="3352"/>
        <n v="6785"/>
        <n v="5037"/>
        <n v="1954"/>
        <n v="5"/>
        <n v="12102"/>
        <n v="24234"/>
        <n v="2809"/>
        <n v="11469"/>
        <n v="8014"/>
        <n v="514"/>
        <n v="43473"/>
        <n v="87560"/>
        <n v="3087"/>
        <n v="1586"/>
        <n v="12812"/>
        <n v="183345"/>
        <n v="8697"/>
        <n v="4126"/>
        <n v="3220"/>
        <n v="6401"/>
        <n v="1269"/>
        <n v="903"/>
        <n v="3251"/>
        <n v="8092"/>
        <n v="160422"/>
        <n v="196377"/>
        <n v="2148"/>
        <n v="11648"/>
        <n v="5897"/>
        <n v="3326"/>
        <n v="1002"/>
        <n v="131826"/>
        <n v="21477"/>
        <n v="62330"/>
        <n v="14643"/>
        <n v="41396"/>
        <n v="11900"/>
        <n v="123538"/>
        <n v="198628"/>
        <n v="68602"/>
        <n v="116064"/>
        <n v="125042"/>
        <n v="108974"/>
        <n v="34964"/>
        <n v="96777"/>
        <n v="31864"/>
        <n v="4853"/>
        <n v="82959"/>
        <n v="23159"/>
        <n v="2758"/>
        <n v="12607"/>
        <n v="142823"/>
        <n v="95958"/>
        <n v="94631"/>
        <n v="977"/>
        <n v="137961"/>
        <n v="7548"/>
        <n v="2241"/>
        <n v="3431"/>
        <n v="4253"/>
        <n v="1146"/>
        <n v="11948"/>
        <n v="135132"/>
        <n v="9546"/>
        <n v="13755"/>
        <n v="8330"/>
        <n v="14547"/>
        <n v="11735"/>
        <n v="10658"/>
        <n v="1870"/>
        <n v="14394"/>
        <n v="14743"/>
        <n v="178965"/>
        <n v="128410"/>
        <n v="164291"/>
        <n v="22073"/>
        <n v="1479"/>
        <n v="12275"/>
        <n v="5098"/>
        <n v="24882"/>
        <n v="2912"/>
        <n v="4008"/>
        <n v="9749"/>
        <n v="5803"/>
        <n v="14199"/>
        <n v="196779"/>
        <n v="56859"/>
        <n v="103554"/>
        <n v="42795"/>
        <n v="12938"/>
        <n v="101352"/>
        <n v="4477"/>
        <n v="4393"/>
        <n v="67546"/>
        <n v="143788"/>
        <n v="3755"/>
        <n v="9238"/>
        <n v="77012"/>
        <n v="14083"/>
        <n v="12202"/>
        <n v="62127"/>
        <n v="13772"/>
        <n v="2946"/>
        <n v="168820"/>
        <n v="154321"/>
        <n v="26527"/>
        <n v="71583"/>
        <n v="12100"/>
        <n v="12129"/>
        <n v="62804"/>
        <n v="55536"/>
        <n v="8161"/>
        <n v="14046"/>
        <n v="117628"/>
        <n v="159405"/>
        <n v="12552"/>
        <n v="59007"/>
        <n v="943"/>
        <n v="93963"/>
        <n v="140469"/>
        <n v="6423"/>
        <n v="6015"/>
        <n v="11075"/>
        <n v="15723"/>
        <n v="2064"/>
        <n v="7767"/>
        <n v="10313"/>
        <n v="197018"/>
        <n v="47037"/>
        <n v="173191"/>
        <n v="5487"/>
        <n v="9817"/>
        <n v="6369"/>
        <n v="65755"/>
        <n v="178120"/>
        <n v="13678"/>
        <n v="9969"/>
        <n v="14827"/>
        <n v="100900"/>
        <n v="165954"/>
        <n v="1744"/>
        <n v="10731"/>
        <n v="3232"/>
        <n v="10938"/>
        <n v="10739"/>
        <n v="5579"/>
        <n v="37754"/>
        <n v="45384"/>
        <n v="8703"/>
        <n v="4"/>
        <n v="182302"/>
        <n v="3045"/>
        <n v="102749"/>
        <n v="1763"/>
        <n v="137904"/>
        <n v="152438"/>
        <n v="1332"/>
        <n v="118706"/>
        <n v="5674"/>
        <n v="4119"/>
        <n v="139354"/>
        <n v="57734"/>
        <n v="145265"/>
        <n v="95020"/>
        <n v="8829"/>
        <n v="3984"/>
        <n v="8053"/>
        <n v="1620"/>
        <n v="10328"/>
        <n v="10289"/>
        <n v="9889"/>
        <n v="60342"/>
        <n v="8907"/>
        <n v="8432"/>
        <n v="57122"/>
        <n v="4613"/>
        <n v="162603"/>
        <n v="12310"/>
        <n v="8656"/>
        <n v="159931"/>
        <n v="689"/>
        <n v="48236"/>
        <n v="77021"/>
        <n v="27844"/>
        <n v="702"/>
        <n v="197024"/>
        <n v="11663"/>
        <n v="9339"/>
        <n v="4596"/>
        <n v="173437"/>
        <n v="45831"/>
        <n v="6514"/>
        <n v="13684"/>
        <n v="13264"/>
        <n v="1667"/>
        <n v="3349"/>
        <n v="46317"/>
        <n v="78743"/>
        <n v="107743"/>
        <n v="6889"/>
        <n v="45983"/>
        <n v="6924"/>
        <n v="12497"/>
        <n v="166874"/>
        <n v="837"/>
        <n v="193820"/>
        <n v="119510"/>
        <n v="9289"/>
        <n v="35498"/>
        <n v="12678"/>
        <n v="3260"/>
        <n v="31123"/>
        <n v="4797"/>
        <n v="53324"/>
        <n v="6608"/>
        <n v="622"/>
        <n v="180802"/>
        <n v="3406"/>
        <n v="11061"/>
        <n v="16389"/>
        <n v="6303"/>
        <n v="81136"/>
        <n v="1768"/>
        <n v="12944"/>
        <n v="188480"/>
        <n v="7227"/>
        <n v="574"/>
        <n v="96328"/>
        <n v="178338"/>
        <n v="8046"/>
        <n v="184086"/>
        <n v="13385"/>
        <n v="12533"/>
        <n v="14697"/>
        <n v="98935"/>
        <n v="57034"/>
        <n v="7120"/>
        <n v="14097"/>
        <n v="43086"/>
        <n v="1930"/>
        <n v="13864"/>
        <n v="7742"/>
        <n v="164109"/>
        <n v="6870"/>
        <n v="12597"/>
        <n v="179074"/>
        <n v="83843"/>
        <n v="105598"/>
        <n v="8866"/>
        <n v="75022"/>
        <n v="14408"/>
        <n v="14089"/>
        <n v="12467"/>
        <n v="11960"/>
        <n v="7966"/>
        <n v="106321"/>
        <n v="158832"/>
        <n v="11091"/>
        <n v="5107"/>
        <n v="141393"/>
        <n v="194166"/>
        <n v="4124"/>
        <n v="14865"/>
        <n v="134688"/>
        <n v="47705"/>
        <n v="95364"/>
        <n v="3295"/>
        <n v="4896"/>
        <n v="7496"/>
        <n v="9967"/>
        <n v="52421"/>
        <n v="6298"/>
        <n v="1546"/>
        <n v="16168"/>
        <n v="6269"/>
        <n v="149578"/>
        <n v="3841"/>
        <n v="4531"/>
        <n v="60934"/>
        <n v="103255"/>
        <n v="13065"/>
        <n v="6654"/>
        <n v="6852"/>
        <n v="124517"/>
        <n v="5113"/>
        <n v="5824"/>
        <n v="6226"/>
        <n v="20243"/>
        <n v="188288"/>
        <n v="11167"/>
        <n v="146595"/>
        <n v="7875"/>
        <n v="148779"/>
        <n v="175868"/>
        <n v="5112"/>
        <n v="13018"/>
        <n v="91176"/>
        <n v="6342"/>
        <n v="151438"/>
        <n v="6178"/>
        <n v="6405"/>
        <n v="180667"/>
        <n v="12042"/>
        <n v="179356"/>
        <n v="1136"/>
        <n v="8645"/>
        <n v="1914"/>
        <n v="41205"/>
        <n v="14488"/>
        <n v="97037"/>
        <n v="55757"/>
        <n v="11525"/>
        <n v="158669"/>
        <n v="5916"/>
        <n v="150806"/>
        <n v="14249"/>
        <n v="13205"/>
        <n v="11108"/>
        <n v="2884"/>
        <n v="55476"/>
        <n v="5973"/>
        <n v="183756"/>
        <n v="30902"/>
        <n v="5569"/>
        <n v="92824"/>
        <n v="158590"/>
        <n v="127591"/>
        <n v="6750"/>
        <n v="9318"/>
        <n v="4832"/>
        <n v="19769"/>
        <n v="11277"/>
        <n v="13382"/>
        <n v="32986"/>
        <n v="81984"/>
        <n v="178483"/>
        <n v="87448"/>
        <n v="1863"/>
        <n v="62174"/>
        <n v="59003"/>
        <n v="174039"/>
        <n v="12684"/>
        <n v="14033"/>
        <n v="177936"/>
        <n v="13212"/>
        <n v="49879"/>
        <n v="824"/>
        <n v="31594"/>
        <n v="57010"/>
        <n v="7438"/>
        <n v="57872"/>
        <n v="8906"/>
        <n v="7724"/>
        <n v="26571"/>
        <n v="12219"/>
        <n v="1985"/>
        <n v="12155"/>
        <n v="5593"/>
        <n v="175020"/>
        <n v="75955"/>
        <n v="119127"/>
        <n v="110689"/>
        <n v="2445"/>
        <n v="57250"/>
        <n v="11929"/>
        <n v="118214"/>
        <n v="4432"/>
        <n v="17879"/>
        <n v="14511"/>
        <n v="141822"/>
        <n v="159037"/>
        <n v="8109"/>
        <n v="8244"/>
        <n v="7600"/>
        <n v="94501"/>
        <n v="14381"/>
        <n v="13980"/>
        <n v="12449"/>
        <n v="7348"/>
        <n v="8158"/>
        <n v="7119"/>
        <n v="5438"/>
        <n v="115396"/>
        <n v="7656"/>
        <n v="12322"/>
        <n v="96888"/>
        <n v="196960"/>
        <n v="188057"/>
        <n v="6245"/>
        <n v="91014"/>
        <n v="4710"/>
        <n v="197728"/>
        <n v="10682"/>
        <n v="168048"/>
        <n v="138586"/>
        <n v="11579"/>
        <n v="12020"/>
        <n v="13954"/>
        <n v="6358"/>
        <n v="1260"/>
        <n v="14725"/>
        <n v="11174"/>
        <n v="182036"/>
        <n v="28870"/>
        <n v="10353"/>
        <n v="13868"/>
        <n v="8317"/>
        <n v="10557"/>
        <n v="3227"/>
        <n v="5429"/>
        <n v="75906"/>
        <n v="13250"/>
        <n v="11261"/>
        <n v="97369"/>
        <n v="48227"/>
        <n v="14685"/>
        <n v="735"/>
        <n v="10397"/>
        <n v="118847"/>
        <n v="7220"/>
        <n v="107622"/>
        <n v="83267"/>
        <n v="13404"/>
        <n v="131404"/>
        <n v="2533"/>
        <n v="5028"/>
        <n v="1557"/>
        <n v="6100"/>
        <n v="1592"/>
        <n v="14150"/>
        <n v="13513"/>
        <n v="504"/>
        <n v="14240"/>
        <n v="2091"/>
        <n v="118580"/>
        <n v="11214"/>
        <n v="68137"/>
        <n v="13527"/>
        <n v="8363"/>
        <n v="5362"/>
        <n v="12065"/>
        <n v="118603"/>
        <n v="10037"/>
        <n v="5696"/>
        <n v="167005"/>
        <n v="114615"/>
        <n v="16592"/>
        <n v="14420"/>
        <n v="6204"/>
        <n v="8010"/>
        <n v="8125"/>
        <n v="55372"/>
        <n v="11088"/>
        <n v="109106"/>
        <n v="11642"/>
        <n v="2769"/>
        <n v="169586"/>
        <n v="101185"/>
        <n v="6775"/>
        <n v="72623"/>
        <n v="45987"/>
        <n v="10243"/>
        <n v="87293"/>
        <n v="5421"/>
        <n v="4414"/>
        <n v="10981"/>
        <n v="10451"/>
        <n v="102535"/>
        <n v="12939"/>
        <n v="10946"/>
        <n v="60994"/>
        <n v="3174"/>
        <n v="3351"/>
        <n v="56774"/>
        <n v="540"/>
        <n v="680"/>
        <n v="13045"/>
        <n v="8276"/>
        <n v="1022"/>
        <n v="4275"/>
        <n v="8332"/>
        <n v="6408"/>
        <n v="73522"/>
        <n v="4667"/>
        <n v="12216"/>
        <n v="6987"/>
        <n v="4932"/>
        <n v="8262"/>
        <n v="1848"/>
        <n v="1583"/>
        <n v="88536"/>
        <n v="12360"/>
        <n v="71320"/>
        <n v="134640"/>
        <n v="7661"/>
        <n v="2950"/>
        <n v="11721"/>
        <n v="189192"/>
        <n v="7664"/>
        <n v="4509"/>
        <n v="12009"/>
        <n v="14273"/>
        <n v="188982"/>
        <n v="14640"/>
        <n v="107516"/>
        <n v="13950"/>
        <n v="12797"/>
        <n v="6134"/>
        <n v="4899"/>
        <n v="4929"/>
        <n v="1424"/>
        <n v="105817"/>
        <n v="136156"/>
        <n v="10723"/>
        <n v="11228"/>
        <n v="77355"/>
        <n v="6086"/>
        <n v="150960"/>
        <n v="8890"/>
        <n v="14644"/>
        <n v="116583"/>
        <n v="12991"/>
        <n v="8447"/>
        <n v="2703"/>
        <n v="8747"/>
        <n v="138087"/>
        <n v="5085"/>
        <n v="10831"/>
        <n v="8917"/>
        <n v="12468"/>
        <n v="2505"/>
        <n v="111502"/>
        <n v="194309"/>
        <n v="23956"/>
        <n v="8558"/>
        <n v="7413"/>
        <n v="2778"/>
        <n v="2594"/>
        <n v="5033"/>
        <n v="9317"/>
        <n v="6560"/>
        <n v="5415"/>
        <n v="14577"/>
        <n v="150515"/>
        <n v="79045"/>
        <n v="7797"/>
        <n v="38376"/>
        <n v="6920"/>
        <n v="194912"/>
        <n v="7992"/>
        <n v="79268"/>
        <n v="139468"/>
        <n v="5465"/>
        <n v="2111"/>
        <n v="126628"/>
        <n v="1012"/>
        <n v="193101"/>
        <n v="31665"/>
        <n v="2960"/>
        <n v="8089"/>
        <n v="109374"/>
        <n v="2129"/>
        <n v="127745"/>
        <n v="2289"/>
        <n v="12174"/>
        <n v="9508"/>
        <n v="155849"/>
        <n v="7758"/>
        <n v="13835"/>
        <n v="10770"/>
        <n v="153338"/>
        <n v="2437"/>
        <n v="93991"/>
        <n v="12620"/>
        <n v="8746"/>
        <n v="3534"/>
        <n v="709"/>
        <n v="795"/>
        <n v="12955"/>
        <n v="8964"/>
        <n v="1843"/>
        <n v="121950"/>
        <n v="8621"/>
        <n v="30215"/>
        <n v="11539"/>
        <n v="14310"/>
        <n v="35536"/>
        <n v="3676"/>
        <n v="195936"/>
        <n v="1343"/>
        <n v="2097"/>
        <n v="9021"/>
        <n v="20915"/>
        <n v="9676"/>
        <n v="1210"/>
        <n v="90440"/>
        <n v="4044"/>
        <n v="192292"/>
        <n v="6722"/>
        <n v="1577"/>
        <n v="3301"/>
        <n v="196386"/>
        <n v="11952"/>
        <n v="3930"/>
        <n v="5729"/>
        <n v="4883"/>
        <n v="175015"/>
        <n v="11280"/>
        <n v="10012"/>
        <n v="1690"/>
        <n v="84891"/>
        <n v="10093"/>
        <n v="3839"/>
        <n v="6161"/>
        <n v="5615"/>
        <n v="6205"/>
        <n v="11969"/>
        <n v="8142"/>
        <n v="55805"/>
        <n v="15238"/>
        <n v="961"/>
        <n v="5918"/>
        <n v="9520"/>
        <n v="159056"/>
        <n v="101987"/>
        <n v="1980"/>
        <n v="156384"/>
        <n v="7763"/>
        <n v="35698"/>
        <n v="12434"/>
        <n v="8081"/>
        <n v="6631"/>
        <n v="4678"/>
        <n v="6800"/>
        <n v="10657"/>
        <n v="4997"/>
        <n v="13164"/>
        <n v="8501"/>
        <n v="13468"/>
        <n v="121138"/>
        <n v="8117"/>
        <n v="8550"/>
        <n v="57659"/>
        <n v="1414"/>
        <n v="97524"/>
        <n v="26176"/>
        <n v="2991"/>
        <n v="8366"/>
        <n v="12886"/>
        <n v="5177"/>
        <n v="8641"/>
        <n v="86244"/>
        <n v="78630"/>
        <n v="11941"/>
        <n v="6115"/>
        <n v="188404"/>
        <n v="9910"/>
        <n v="114523"/>
        <n v="3144"/>
        <n v="13441"/>
        <n v="11990"/>
        <n v="6839"/>
        <n v="13223"/>
        <n v="7608"/>
        <n v="74073"/>
        <n v="153216"/>
        <n v="4814"/>
        <n v="4603"/>
        <n v="37823"/>
        <n v="62819"/>
      </sharedItems>
    </cacheField>
    <cacheField name="% Funded" numFmtId="10">
      <sharedItems containsSemiMixedTypes="0" containsString="0" containsNumber="1" minValue="0" maxValue="23.388333333333332" count="986">
        <n v="0"/>
        <n v="10.4"/>
        <n v="1.3147878228782288"/>
        <n v="0.58976190476190471"/>
        <n v="0.69276315789473686"/>
        <n v="1.7361842105263159"/>
        <n v="0.20961538461538462"/>
        <n v="3.2757777777777779"/>
        <n v="0.19932788374205268"/>
        <n v="0.51741935483870971"/>
        <n v="2.6611538461538462"/>
        <n v="0.48095238095238096"/>
        <n v="0.89349206349206345"/>
        <n v="2.4511904761904764"/>
        <n v="0.66769503546099296"/>
        <n v="0.47307881773399013"/>
        <n v="6.4947058823529416"/>
        <n v="1.5939125295508274"/>
        <n v="0.66912087912087914"/>
        <n v="0.48529600000000001"/>
        <n v="1.1224279210925645"/>
        <n v="0.40992553191489361"/>
        <n v="1.2807106598984772"/>
        <n v="3.3204444444444445"/>
        <n v="1.1283225108225108"/>
        <n v="2.1643636363636363"/>
        <n v="0.4819906976744186"/>
        <n v="0.79949999999999999"/>
        <n v="1.0522553516819573"/>
        <n v="3.2889978213507627"/>
        <n v="1.606111111111111"/>
        <n v="3.1"/>
        <n v="0.86807920792079207"/>
        <n v="3.7782071713147412"/>
        <n v="1.5080645161290323"/>
        <n v="1.5030119521912351"/>
        <n v="1.572857142857143"/>
        <n v="1.3998765432098765"/>
        <n v="3.2532258064516131"/>
        <n v="0.50777777777777777"/>
        <n v="1.6906818181818182"/>
        <n v="2.1292857142857144"/>
        <n v="4.4394444444444447"/>
        <n v="1.859390243902439"/>
        <n v="6.5881249999999998"/>
        <n v="0.4768421052631579"/>
        <n v="1.1478378378378378"/>
        <n v="4.7526666666666664"/>
        <n v="3.86972972972973"/>
        <n v="1.89625"/>
        <n v="0.02"/>
        <n v="0.91867805186590767"/>
        <n v="0.34152777777777776"/>
        <n v="1.4040909090909091"/>
        <n v="0.89866666666666661"/>
        <n v="1.7796969696969698"/>
        <n v="1.436625"/>
        <n v="2.1527586206896552"/>
        <n v="2.2711111111111113"/>
        <n v="2.7507142857142859"/>
        <n v="1.4437048832271762"/>
        <n v="0.92745983935742971"/>
        <n v="7.226"/>
        <n v="0.11851063829787234"/>
        <n v="0.97642857142857142"/>
        <n v="2.3614754098360655"/>
        <n v="0.45068965517241377"/>
        <n v="1.6238567493112948"/>
        <n v="2.5452631578947367"/>
        <n v="0.24063291139240506"/>
        <n v="1.2374140625000001"/>
        <n v="1.0806666666666667"/>
        <n v="6.7033333333333331"/>
        <n v="6.609285714285714"/>
        <n v="1.2246153846153847"/>
        <n v="1.5057731958762886"/>
        <n v="0.78106590724165992"/>
        <n v="0.46947368421052632"/>
        <n v="3.008"/>
        <n v="0.6959861591695502"/>
        <n v="6.374545454545455"/>
        <n v="2.253392857142857"/>
        <n v="14.973000000000001"/>
        <n v="0.37590225563909774"/>
        <n v="1.3236942675159236"/>
        <n v="1.3122448979591836"/>
        <n v="1.6763513513513513"/>
        <n v="0.6198488664987406"/>
        <n v="2.6074999999999999"/>
        <n v="2.5258823529411765"/>
        <n v="0.7861538461538462"/>
        <n v="0.48404406999351912"/>
        <n v="2.5887500000000001"/>
        <n v="0.60548713235294116"/>
        <n v="3.036896551724138"/>
        <n v="1.1299999999999999"/>
        <n v="2.1737876614060259"/>
        <n v="9.2669230769230762"/>
        <n v="0.33692229038854804"/>
        <n v="1.9672368421052631"/>
        <n v="0.01"/>
        <n v="10.214444444444444"/>
        <n v="2.8167567567567566"/>
        <n v="0.24610000000000001"/>
        <n v="1.4314010067114094"/>
        <n v="1.4454411764705883"/>
        <n v="3.5912820512820511"/>
        <n v="1.8648571428571428"/>
        <n v="5.9526666666666666"/>
        <n v="0.5921153846153846"/>
        <n v="0.14962780898876404"/>
        <n v="1.1995602605863191"/>
        <n v="2.6882978723404256"/>
        <n v="3.7687878787878786"/>
        <n v="7.2715789473684209"/>
        <n v="0.87211757648470301"/>
        <n v="0.88"/>
        <n v="1.7393877551020409"/>
        <n v="1.1761111111111111"/>
        <n v="2.1496"/>
        <n v="1.4949667110519307"/>
        <n v="2.1933995584988963"/>
        <n v="0.64367690058479532"/>
        <n v="0.18622397298818233"/>
        <n v="3.6776923076923076"/>
        <n v="1.5990566037735849"/>
        <n v="0.38633185349611543"/>
        <n v="0.51421511627906979"/>
        <n v="0.60334277620396604"/>
        <n v="3.2026936026936029E-2"/>
        <n v="1.5546875"/>
        <n v="1.0085974499089254"/>
        <n v="1.1618181818181819"/>
        <n v="3.1077777777777778"/>
        <n v="0.89736683417085428"/>
        <n v="0.71272727272727276"/>
        <n v="3.2862318840579711E-2"/>
        <n v="2.617777777777778"/>
        <n v="0.96"/>
        <n v="0.20896851248642778"/>
        <n v="2.2316363636363636"/>
        <n v="1.0159097978227061"/>
        <n v="2.3003999999999998"/>
        <n v="1.355925925925926"/>
        <n v="1.2909999999999999"/>
        <n v="2.3651200000000001"/>
        <n v="0.17249999999999999"/>
        <n v="1.1249397590361445"/>
        <n v="1.2102150537634409"/>
        <n v="2.1987096774193549"/>
        <n v="0.64166909620991253"/>
        <n v="4.2306746987951804"/>
        <n v="0.92984160506863778"/>
        <n v="0.58756567425569173"/>
        <n v="0.65022222222222226"/>
        <n v="0.73939560439560437"/>
        <n v="0.52666666666666662"/>
        <n v="2.2095238095238097"/>
        <n v="1.0001150627615063"/>
        <n v="1.6231249999999999"/>
        <n v="0.78181818181818186"/>
        <n v="1.4973770491803278"/>
        <n v="2.5325714285714285"/>
        <n v="1.0016943521594683"/>
        <n v="1.2199004424778761"/>
        <n v="1.3713265306122449"/>
        <n v="4.155384615384615"/>
        <n v="0.3130913348946136"/>
        <n v="4.240815450643777"/>
        <n v="2.9388623072833599E-2"/>
        <n v="0.1063265306122449"/>
        <n v="0.82874999999999999"/>
        <n v="1.6301447776628748"/>
        <n v="8.9466666666666672"/>
        <n v="0.26191501103752757"/>
        <n v="0.74834782608695649"/>
        <n v="4.1647680412371137"/>
        <n v="0.96208333333333329"/>
        <n v="3.5771910112359548"/>
        <n v="3.0845714285714285"/>
        <n v="0.61802325581395345"/>
        <n v="7.2232472324723247"/>
        <n v="0.69117647058823528"/>
        <n v="2.9305555555555554"/>
        <n v="0.71799999999999997"/>
        <n v="0.31934684684684683"/>
        <n v="2.2987375415282392"/>
        <n v="0.3201219512195122"/>
        <n v="0.23525352848928385"/>
        <n v="0.68594594594594593"/>
        <n v="0.37952380952380954"/>
        <n v="0.19992957746478873"/>
        <n v="0.45636363636363636"/>
        <n v="1.227605633802817"/>
        <n v="3.61753164556962"/>
        <n v="0.63146341463414635"/>
        <n v="2.9820475319926874"/>
        <n v="9.5585443037974685E-2"/>
        <n v="0.5377777777777778"/>
        <n v="6.8119047619047617"/>
        <n v="0.78831325301204824"/>
        <n v="1.3440792216817234"/>
        <n v="3.372E-2"/>
        <n v="4.3184615384615386"/>
        <n v="0.38844444444444443"/>
        <n v="4.2569999999999997"/>
        <n v="1.0112239715591671"/>
        <n v="0.21188688946015424"/>
        <n v="0.67425531914893622"/>
        <n v="0.9492337164750958"/>
        <n v="1.5185185185185186"/>
        <n v="1.9516382252559727"/>
        <n v="10.231428571428571"/>
        <n v="3.8418367346938778E-2"/>
        <n v="1.5507066557107643"/>
        <n v="0.44753477588871715"/>
        <n v="2.1594736842105262"/>
        <n v="3.3212709832134291"/>
        <n v="8.4430379746835441E-2"/>
        <n v="0.9862551440329218"/>
        <n v="1.3797916666666667"/>
        <n v="0.93810996563573879"/>
        <n v="4.0363930885529156"/>
        <n v="2.6017404129793511"/>
        <n v="3.6663333333333332"/>
        <n v="1.687208538587849"/>
        <n v="1.1990717911530093"/>
        <n v="1.936892523364486"/>
        <n v="4.2016666666666671"/>
        <n v="0.76708333333333334"/>
        <n v="1.7126470588235294"/>
        <n v="1.5789473684210527"/>
        <n v="1.0908"/>
        <n v="0.41732558139534881"/>
        <n v="0.10944303797468355"/>
        <n v="1.593763440860215"/>
        <n v="4.2241666666666671"/>
        <n v="0.97718749999999999"/>
        <n v="4.1878911564625847"/>
        <n v="1.0191632047477746"/>
        <n v="1.2772619047619047"/>
        <n v="4.4521739130434783"/>
        <n v="5.6971428571428575"/>
        <n v="5.0934482758620687"/>
        <n v="3.2553333333333332"/>
        <n v="9.3261616161616168"/>
        <n v="2.1133870967741935"/>
        <n v="2.7332520325203253"/>
        <n v="0.03"/>
        <n v="0.54084507042253516"/>
        <n v="6.2629999999999999"/>
        <n v="0.8902139917695473"/>
        <n v="1.8489130434782608"/>
        <n v="1.2016770186335404"/>
        <n v="0.23390243902439026"/>
        <n v="1.46"/>
        <n v="2.6848000000000001"/>
        <n v="5.9749999999999996"/>
        <n v="1.5769841269841269"/>
        <n v="0.31201660735468567"/>
        <n v="3.1341176470588237"/>
        <n v="3.7089655172413791"/>
        <n v="3.6266447368421053"/>
        <n v="1.2308163265306122"/>
        <n v="0.76766756032171579"/>
        <n v="2.3362012987012988"/>
        <n v="1.8053333333333332"/>
        <n v="2.5262857142857142"/>
        <n v="0.27176538240368026"/>
        <n v="1.2706571242680547E-2"/>
        <n v="3.0400978473581213"/>
        <n v="1.3723076923076922"/>
        <n v="0.32208333333333333"/>
        <n v="2.4151282051282053"/>
        <n v="0.96799999999999997"/>
        <n v="10.664285714285715"/>
        <n v="3.2588888888888889"/>
        <n v="1.7070000000000001"/>
        <n v="5.8144"/>
        <n v="0.91520972644376897"/>
        <n v="1.0804761904761904"/>
        <n v="0.18728395061728395"/>
        <n v="0.83193877551020412"/>
        <n v="7.0633333333333335"/>
        <n v="0.17446030330062445"/>
        <n v="2.0973015873015872"/>
        <n v="0.97785714285714287"/>
        <n v="16.842500000000001"/>
        <n v="0.54402135231316728"/>
        <n v="4.5661111111111108"/>
        <n v="9.8219178082191785E-2"/>
        <n v="0.16384615384615384"/>
        <n v="13.396666666666667"/>
        <n v="0.35650077760497667"/>
        <n v="0.54950819672131146"/>
        <n v="0.94236111111111109"/>
        <n v="1.4391428571428571"/>
        <n v="0.51421052631578945"/>
        <n v="0.05"/>
        <n v="13.446666666666667"/>
        <n v="0.31844940867279897"/>
        <n v="0.82617647058823529"/>
        <n v="5.4614285714285717"/>
        <n v="2.8621428571428571"/>
        <n v="7.9076923076923072E-2"/>
        <n v="1.3213677811550153"/>
        <n v="0.74077834179357027"/>
        <n v="0.75292682926829269"/>
        <n v="0.20333333333333334"/>
        <n v="2.0336507936507937"/>
        <n v="3.1022842639593908"/>
        <n v="3.9531818181818181"/>
        <n v="2.9471428571428571"/>
        <n v="0.33894736842105261"/>
        <n v="0.66677083333333331"/>
        <n v="0.19227272727272726"/>
        <n v="0.15842105263157893"/>
        <n v="0.38702380952380955"/>
        <n v="9.5876777251184833E-2"/>
        <n v="0.94144366197183094"/>
        <n v="1.6656234096692113"/>
        <n v="0.24134831460674158"/>
        <n v="1.6405633802816901"/>
        <n v="0.90723076923076929"/>
        <n v="0.46194444444444444"/>
        <n v="0.38538461538461538"/>
        <n v="1.3356231003039514"/>
        <n v="0.22896588486140726"/>
        <n v="1.8495548961424333"/>
        <n v="4.4372727272727275"/>
        <n v="1.999806763285024"/>
        <n v="1.2395833333333333"/>
        <n v="1.8661329305135952"/>
        <n v="1.1428538550057536"/>
        <n v="0.97032531824611035"/>
        <n v="1.2281904761904763"/>
        <n v="1.7914326647564469"/>
        <n v="0.79951577402787966"/>
        <n v="0.94242587601078165"/>
        <n v="0.84669291338582675"/>
        <n v="0.66521920668058454"/>
        <n v="0.53922222222222227"/>
        <n v="0.41983299595141699"/>
        <n v="0.14694796954314721"/>
        <n v="0.34475"/>
        <n v="14.007777777777777"/>
        <n v="0.71770351758793971"/>
        <n v="0.53074115044247783"/>
        <n v="1.2770715249662619"/>
        <n v="0.34892857142857142"/>
        <n v="4.105982142857143"/>
        <n v="1.2373770491803278"/>
        <n v="0.58973684210526311"/>
        <n v="0.36892473118279567"/>
        <n v="1.8491304347826087"/>
        <n v="0.11814432989690722"/>
        <n v="2.9870000000000001"/>
        <n v="2.2635175879396985"/>
        <n v="1.7356363636363636"/>
        <n v="3.7175675675675675"/>
        <n v="1.601923076923077"/>
        <n v="16.163333333333334"/>
        <n v="7.3343749999999996"/>
        <n v="5.9211111111111112"/>
        <n v="0.18888888888888888"/>
        <n v="2.7680769230769231"/>
        <n v="2.730185185185185"/>
        <n v="1.593633125556545"/>
        <n v="0.67869978858350954"/>
        <n v="15.915555555555555"/>
        <n v="7.3018222222222224"/>
        <n v="0.13185782556750297"/>
        <n v="0.54777777777777781"/>
        <n v="3.6102941176470589"/>
        <n v="0.10257545271629778"/>
        <n v="0.13962962962962963"/>
        <n v="0.40444444444444444"/>
        <n v="1.6032"/>
        <n v="1.8394339622641509"/>
        <n v="0.63769230769230767"/>
        <n v="2.2538095238095237"/>
        <n v="1.7200961538461539"/>
        <n v="1.4616709511568124"/>
        <n v="0.76423616236162362"/>
        <n v="0.39261467889908258"/>
        <n v="0.11270034843205574"/>
        <n v="1.2211084337349398"/>
        <n v="1.8654166666666667"/>
        <n v="7.27317880794702E-2"/>
        <n v="0.65642371234207963"/>
        <n v="2.2896178343949045"/>
        <n v="4.6937499999999996"/>
        <n v="1.3011267605633803"/>
        <n v="1.6705422993492407"/>
        <n v="1.738641975308642"/>
        <n v="7.1776470588235295"/>
        <n v="0.63850976361767731"/>
        <n v="15.302222222222222"/>
        <n v="0.40356164383561643"/>
        <n v="0.86220633299284988"/>
        <n v="3.1558486707566464"/>
        <n v="0.89618243243243245"/>
        <n v="1.8214503816793892"/>
        <n v="3.5588235294117645"/>
        <n v="1.3183695652173912"/>
        <n v="0.46315634218289087"/>
        <n v="0.36132726089785294"/>
        <n v="1.0462820512820512"/>
        <n v="6.6885714285714286"/>
        <n v="0.62072823218997364"/>
        <n v="0.84699787460148779"/>
        <n v="0.11059030837004405"/>
        <n v="0.43838781575037145"/>
        <n v="0.55470588235294116"/>
        <n v="0.57399511301160655"/>
        <n v="1.2343497363796134"/>
        <n v="1.2846"/>
        <n v="0.63989361702127656"/>
        <n v="1.2729885057471264"/>
        <n v="0.10638024357239513"/>
        <n v="0.40470588235294119"/>
        <n v="2.8766666666666665"/>
        <n v="5.7294444444444448"/>
        <n v="1.1290429799426933"/>
        <n v="0.46387573964497042"/>
        <n v="0.90675916230366493"/>
        <n v="0.67740740740740746"/>
        <n v="1.9249019607843136"/>
        <n v="0.82714285714285718"/>
        <n v="0.54163920922570019"/>
        <n v="0.16722222222222222"/>
        <n v="1.168766404199475"/>
        <n v="10.521538461538462"/>
        <n v="1.2307407407407407"/>
        <n v="1.7863855421686747"/>
        <n v="3.5528169014084505"/>
        <n v="1.6190634146341463"/>
        <n v="0.24914285714285714"/>
        <n v="1.9872222222222222"/>
        <n v="0.34752688172043011"/>
        <n v="1.7641935483870967"/>
        <n v="5.1138095238095236"/>
        <n v="0.82044117647058823"/>
        <n v="0.24326030927835052"/>
        <n v="0.50482758620689661"/>
        <n v="9.67"/>
        <n v="0.04"/>
        <n v="1.2284501347708894"/>
        <n v="0.63437500000000002"/>
        <n v="0.56331688596491225"/>
        <n v="0.44074999999999998"/>
        <n v="1.1837253218884121"/>
        <n v="1.041243169398907"/>
        <n v="0.26640000000000003"/>
        <n v="3.5120118343195266"/>
        <n v="0.90063492063492068"/>
        <n v="1.7162500000000001"/>
        <n v="1.4104655870445344"/>
        <n v="0.30579449152542371"/>
        <n v="1.0816455696202532"/>
        <n v="1.3345505617977529"/>
        <n v="1.8785106382978722"/>
        <n v="3.32"/>
        <n v="5.7521428571428572"/>
        <n v="0.40500000000000003"/>
        <n v="1.8442857142857143"/>
        <n v="2.8580555555555556"/>
        <n v="3.19"/>
        <n v="0.39234070221066319"/>
        <n v="1.7814000000000001"/>
        <n v="3.6515"/>
        <n v="1.1394594594594594"/>
        <n v="0.29828720626631855"/>
        <n v="0.54270588235294115"/>
        <n v="2.3634156976744185"/>
        <n v="5.1291666666666664"/>
        <n v="1.0065116279069768"/>
        <n v="0.81348423194303154"/>
        <n v="0.16404761904761905"/>
        <n v="0.52774617067833696"/>
        <n v="2.6020608108108108"/>
        <n v="0.30732891832229581"/>
        <n v="0.13500000000000001"/>
        <n v="1.7862556663644606"/>
        <n v="2.2005660377358489"/>
        <n v="1.015108695652174"/>
        <n v="1.915"/>
        <n v="3.0534683098591549"/>
        <n v="0.23995287958115183"/>
        <n v="7.2377777777777776"/>
        <n v="5.4736000000000002"/>
        <n v="4.1449999999999996"/>
        <n v="9.0696409140369975E-3"/>
        <n v="0.34173469387755101"/>
        <n v="0.239488107549121"/>
        <n v="0.48072649572649573"/>
        <n v="0.70145182291666663"/>
        <n v="5.2992307692307694"/>
        <n v="1.8032549019607844"/>
        <n v="0.92320000000000002"/>
        <n v="0.13901001112347053"/>
        <n v="9.2707777777777771"/>
        <n v="0.39857142857142858"/>
        <n v="1.1222929936305732"/>
        <n v="0.70925816023738875"/>
        <n v="1.1908974358974358"/>
        <n v="0.24017591339648173"/>
        <n v="1.3931868131868133"/>
        <n v="0.39277108433734942"/>
        <n v="0.22439077144917088"/>
        <n v="0.55779069767441858"/>
        <n v="0.42523125996810207"/>
        <n v="1.1200000000000001"/>
        <n v="7.0681818181818179E-2"/>
        <n v="1.0174563871693867"/>
        <n v="4.2575000000000003"/>
        <n v="1.4553947368421052"/>
        <n v="0.32453465346534655"/>
        <n v="7.003333333333333"/>
        <n v="0.83904860392967939"/>
        <n v="0.84190476190476193"/>
        <n v="1.5595180722891566"/>
        <n v="0.99619450317124736"/>
        <n v="0.80300000000000005"/>
        <n v="0.11254901960784314"/>
        <n v="0.91740952380952379"/>
        <n v="0.95521156936261387"/>
        <n v="5.0287499999999996"/>
        <n v="1.5924394463667819"/>
        <n v="0.15022446689113356"/>
        <n v="4.820384615384615"/>
        <n v="1.4996938775510205"/>
        <n v="1.1722156398104266"/>
        <n v="0.37695968274950431"/>
        <n v="0.72653061224489801"/>
        <n v="2.6598113207547169"/>
        <n v="0.24205617977528091"/>
        <n v="2.5064935064935064E-2"/>
        <n v="0.1632979976442874"/>
        <n v="2.7650000000000001"/>
        <n v="0.88803571428571426"/>
        <n v="1.6357142857142857"/>
        <n v="9.69"/>
        <n v="2.7091376701966716"/>
        <n v="2.8421355932203389"/>
        <n v="0.58632981676846196"/>
        <n v="0.98511111111111116"/>
        <n v="0.43975381008206332"/>
        <n v="1.5166315789473683"/>
        <n v="2.2363492063492063"/>
        <n v="2.3975"/>
        <n v="1.9933333333333334"/>
        <n v="1.373448275862069"/>
        <n v="1.009696106362773"/>
        <n v="7.9416000000000002"/>
        <n v="3.6970000000000001"/>
        <n v="0.12818181818181817"/>
        <n v="1.3802702702702703"/>
        <n v="0.83813278008298753"/>
        <n v="2.0460063224446787"/>
        <n v="0.44344086021505374"/>
        <n v="2.1860294117647059"/>
        <n v="1.8603314917127072"/>
        <n v="2.3733830845771142"/>
        <n v="3.0565384615384614"/>
        <n v="0.94142857142857139"/>
        <n v="0.54400000000000004"/>
        <n v="1.1188059701492536"/>
        <n v="3.6914814814814814"/>
        <n v="0.62930372148859548"/>
        <n v="0.6492783505154639"/>
        <n v="0.18853658536585366"/>
        <n v="0.1675440414507772"/>
        <n v="1.0111290322580646"/>
        <n v="3.4150228310502282"/>
        <n v="0.64016666666666666"/>
        <n v="0.5208045977011494"/>
        <n v="3.2240211640211642"/>
        <n v="1.1950810185185186"/>
        <n v="1.4679775280898877"/>
        <n v="9.5057142857142853"/>
        <n v="0.72893617021276591"/>
        <n v="0.7900824873096447"/>
        <n v="0.64721518987341775"/>
        <n v="0.82028169014084507"/>
        <n v="10.376666666666667"/>
        <n v="0.12910076530612244"/>
        <n v="1.5484210526315789"/>
        <n v="7.0991735537190084E-2"/>
        <n v="2.0852773826458035"/>
        <n v="0.99683544303797467"/>
        <n v="2.0159756097560977"/>
        <n v="1.6209032258064515"/>
        <n v="3.6436208125445471E-2"/>
        <n v="2.0663492063492064"/>
        <n v="1.2823628691983122"/>
        <n v="1.1966037735849056"/>
        <n v="1.7073055242390078"/>
        <n v="1.8721212121212121"/>
        <n v="1.8838235294117647"/>
        <n v="1.3129869186046512"/>
        <n v="2.8397435897435899"/>
        <n v="1.2041999999999999"/>
        <n v="4.1905607476635511"/>
        <n v="0.13853658536585367"/>
        <n v="1.3943548387096774"/>
        <n v="1.74"/>
        <n v="1.5549056603773586"/>
        <n v="1.7044705882352942"/>
        <n v="1.8951562500000001"/>
        <n v="2.4971428571428573"/>
        <n v="0.48860523665659616"/>
        <n v="0.28461970393057684"/>
        <n v="2.6802325581395348"/>
        <n v="6.1980078125000002"/>
        <n v="3.1301587301587303E-2"/>
        <n v="1.5992152704135738"/>
        <n v="2.793921568627451"/>
        <n v="0.77373333333333338"/>
        <n v="2.0632812500000002"/>
        <n v="6.9424999999999999"/>
        <n v="1.5178947368421052"/>
        <n v="0.64582072176949945"/>
        <n v="0.62873684210526315"/>
        <n v="3.1039864864864866"/>
        <n v="0.42859916782246882"/>
        <n v="0.83119402985074631"/>
        <n v="0.78531302876480547"/>
        <n v="1.1409352517985611"/>
        <n v="0.64537683358624176"/>
        <n v="0.79411764705882348"/>
        <n v="0.11419117647058824"/>
        <n v="0.56186046511627907"/>
        <n v="0.16501669449081802"/>
        <n v="1.1996808510638297"/>
        <n v="1.4545652173913044"/>
        <n v="2.2138255033557046"/>
        <n v="0.48396694214876035"/>
        <n v="0.92911504424778757"/>
        <n v="0.88599797365754818"/>
        <n v="0.41399999999999998"/>
        <n v="0.63056795131845844"/>
        <n v="0.48482333607230893"/>
        <n v="0.88479410269445857"/>
        <n v="1.2684"/>
        <n v="23.388333333333332"/>
        <n v="5.0838857142857146"/>
        <n v="1.9147826086956521"/>
        <n v="0.42127533783783783"/>
        <n v="8.2400000000000001E-2"/>
        <n v="0.60064638783269964"/>
        <n v="0.47232808616404309"/>
        <n v="0.81736263736263737"/>
        <n v="0.54187265917603"/>
        <n v="0.97868131868131869"/>
        <n v="0.77239999999999998"/>
        <n v="0.33464735516372796"/>
        <n v="2.3958823529411766"/>
        <n v="0.64032258064516134"/>
        <n v="1.7615942028985507"/>
        <n v="0.20338181818181819"/>
        <n v="3.5864754098360656"/>
        <n v="4.6885802469135802"/>
        <n v="1.220563524590164"/>
        <n v="0.55931783729156137"/>
        <n v="0.43660714285714286"/>
        <n v="0.33538371411833628"/>
        <n v="1.2297938144329896"/>
        <n v="1.8974959871589085"/>
        <n v="0.83622641509433959"/>
        <n v="0.17968844221105529"/>
        <n v="10.365"/>
        <n v="0.97405219780219776"/>
        <n v="0.86386203150461705"/>
        <n v="1.5016666666666667"/>
        <n v="3.5843478260869563"/>
        <n v="5.4285714285714288"/>
        <n v="0.67500714285714281"/>
        <n v="1.9174666666666667"/>
        <n v="9.32"/>
        <n v="4.2927586206896553"/>
        <n v="1.0065753424657535"/>
        <n v="2.266111111111111"/>
        <n v="1.4238"/>
        <n v="0.90633333333333332"/>
        <n v="0.63966740576496672"/>
        <n v="0.84131868131868137"/>
        <n v="1.3393478260869565"/>
        <n v="0.59042047531992692"/>
        <n v="1.5280062063615205"/>
        <n v="4.466912114014252"/>
        <n v="0.8439189189189189"/>
        <n v="1.7502692307692307"/>
        <n v="0.54137931034482756"/>
        <n v="3.1187381703470032"/>
        <n v="1.2278160919540231"/>
        <n v="0.99026517383618151"/>
        <n v="1.278468634686347"/>
        <n v="1.5861643835616439"/>
        <n v="7.0705882352941174"/>
        <n v="1.4238775510204082"/>
        <n v="1.4786046511627906"/>
        <n v="0.20322580645161289"/>
        <n v="18.40625"/>
        <n v="1.6194202898550725"/>
        <n v="4.7282077922077921"/>
        <n v="0.24466101694915254"/>
        <n v="5.1764999999999999"/>
        <n v="2.4764285714285714"/>
        <n v="1.0020481927710843"/>
        <n v="1.53"/>
        <n v="0.37091954022988505"/>
        <n v="4.3923948220064728E-2"/>
        <n v="1.5650721649484536"/>
        <n v="2.704081632653061"/>
        <n v="1.3405952380952382"/>
        <n v="0.50398033126293995"/>
        <n v="0.88815837937384901"/>
        <n v="1.65"/>
        <n v="0.17499999999999999"/>
        <n v="1.8566071428571429"/>
        <n v="4.1266319444444441"/>
        <n v="0.90249999999999997"/>
        <n v="0.91984615384615387"/>
        <n v="5.2700632911392402"/>
        <n v="3.1914285714285713"/>
        <n v="3.5418867924528303"/>
        <n v="0.32896103896103895"/>
        <n v="1.358918918918919"/>
        <n v="2.0843373493975904E-2"/>
        <n v="0.61"/>
        <n v="0.30037735849056602"/>
        <n v="11.791666666666666"/>
        <n v="11.260833333333334"/>
        <n v="0.12923076923076923"/>
        <n v="7.12"/>
        <n v="0.30304347826086958"/>
        <n v="2.1250896057347672"/>
        <n v="2.2885714285714287"/>
        <n v="0.34959979476654696"/>
        <n v="1.5729069767441861"/>
        <n v="2.3230555555555554"/>
        <n v="0.92448275862068963"/>
        <n v="2.5670212765957445"/>
        <n v="1.6847017045454546"/>
        <n v="1.6657777777777778"/>
        <n v="7.7207692307692311"/>
        <n v="4.0685714285714285"/>
        <n v="5.6420608108108112"/>
        <n v="0.6842686567164179"/>
        <n v="0.34351966873706002"/>
        <n v="6.5545454545454547"/>
        <n v="1.7725714285714285"/>
        <n v="1.1317857142857144"/>
        <n v="7.2818181818181822"/>
        <n v="2.0833333333333335"/>
        <n v="0.31171232876712329"/>
        <n v="0.56967078189300413"/>
        <n v="2.31"/>
        <n v="0.86867834394904464"/>
        <n v="2.7074418604651163"/>
        <n v="0.49446428571428569"/>
        <n v="1.1335962566844919"/>
        <n v="1.9055555555555554"/>
        <n v="1.355"/>
        <n v="0.10297872340425532"/>
        <n v="0.65544223826714798"/>
        <n v="0.49026652452025588"/>
        <n v="7.8792307692307695"/>
        <n v="0.80306347746090156"/>
        <n v="1.0629411764705883"/>
        <n v="0.50735632183908042"/>
        <n v="2.153137254901961"/>
        <n v="1.4122972972972974"/>
        <n v="1.1533745781777278"/>
        <n v="1.9311940298507462"/>
        <n v="7.2973333333333334"/>
        <n v="0.99663398692810456"/>
        <n v="0.88166666666666671"/>
        <n v="0.37233333333333335"/>
        <n v="0.30540075309306081"/>
        <n v="0.25714285714285712"/>
        <n v="0.34"/>
        <n v="11.859090909090909"/>
        <n v="1.2539393939393939"/>
        <n v="0.14394366197183098"/>
        <n v="0.54807692307692313"/>
        <n v="1.0963157894736841"/>
        <n v="1.8847058823529412"/>
        <n v="0.87008284023668636"/>
        <n v="2.0291304347826089"/>
        <n v="1.9703225806451612"/>
        <n v="1.07"/>
        <n v="2.6873076923076922"/>
        <n v="0.50845360824742269"/>
        <n v="11.802857142857142"/>
        <n v="2.64"/>
        <n v="0.30442307692307691"/>
        <n v="0.62880681818181816"/>
        <n v="1.9312499999999999"/>
        <n v="0.77102702702702708"/>
        <n v="2.2552763819095478"/>
        <n v="2.3940625"/>
        <n v="0.921875"/>
        <n v="1.3023333333333333"/>
        <n v="6.1521739130434785"/>
        <n v="3.687953216374269"/>
        <n v="10.948571428571428"/>
        <n v="0.50662921348314605"/>
        <n v="8.0060000000000002"/>
        <n v="2.9128571428571428"/>
        <n v="3.4996666666666667"/>
        <n v="3.5707317073170732"/>
        <n v="1.2648941176470587"/>
        <n v="3.875"/>
        <n v="4.5703571428571426"/>
        <n v="2.6669565217391304"/>
        <n v="0.69"/>
        <n v="0.51343749999999999"/>
        <n v="1.1710526315789473E-2"/>
        <n v="1.089773429454171"/>
        <n v="3.1517592592592591"/>
        <n v="1.5769117647058823"/>
        <n v="1.5380821917808218"/>
        <n v="0.89738979118329465"/>
        <n v="0.75135802469135804"/>
        <n v="8.5288135593220336"/>
        <n v="1.3890625000000001"/>
        <n v="1.9018181818181819"/>
        <n v="1.0024333619948409"/>
        <n v="1.4275824175824177"/>
        <n v="5.6313333333333331"/>
        <n v="0.30715909090909088"/>
        <n v="0.99397727272727276"/>
        <n v="1.9754935622317598"/>
        <n v="5.085"/>
        <n v="2.3774468085106384"/>
        <n v="3.3846875000000001"/>
        <n v="1.3308955223880596"/>
        <n v="2.0779999999999998"/>
        <n v="0.51122448979591839"/>
        <n v="6.5205847953216374"/>
        <n v="1.1363099415204678"/>
        <n v="1.0237606837606839"/>
        <n v="3.5658333333333334"/>
        <n v="1.3986792452830188"/>
        <n v="0.69450000000000001"/>
        <n v="0.35534246575342465"/>
        <n v="2.5165000000000002"/>
        <n v="1.0587500000000001"/>
        <n v="1.8742857142857143"/>
        <n v="3.8678571428571429"/>
        <n v="3.4707142857142856"/>
        <n v="1.8582098765432098"/>
        <n v="0.43241247264770238"/>
        <n v="1.6243749999999999"/>
        <n v="1.8484285714285715"/>
        <n v="0.23703520691785052"/>
        <n v="0.89870129870129867"/>
        <n v="2.7260419580419581"/>
        <n v="1.7004255319148935"/>
        <n v="1.8828503562945369"/>
        <n v="3.4693532338308457"/>
        <n v="0.6917721518987342"/>
        <n v="0.25433734939759034"/>
        <n v="0.77400977995110021"/>
        <n v="0.37481481481481482"/>
        <n v="5.4379999999999997"/>
        <n v="2.2852189349112426"/>
        <n v="0.38948339483394834"/>
        <n v="3.7"/>
        <n v="2.3791176470588233"/>
        <n v="0.64036299765807958"/>
        <n v="1.1827777777777777"/>
        <n v="0.84824037184594958"/>
        <n v="0.29346153846153844"/>
        <n v="2.0989655172413793"/>
        <n v="1.697857142857143"/>
        <n v="1.1595907738095239"/>
        <n v="2.5859999999999999"/>
        <n v="2.3058333333333332"/>
        <n v="1.2821428571428573"/>
        <n v="1.8870588235294117"/>
        <n v="6.9511889862327911E-2"/>
        <n v="7.7443434343434348"/>
        <n v="0.27693181818181817"/>
        <n v="0.52479620323841425"/>
        <n v="4.0709677419354842"/>
        <n v="1.5617857142857143"/>
        <n v="2.5242857142857145"/>
        <n v="1.729268292682927E-2"/>
        <n v="0.12230769230769231"/>
        <n v="1.6398734177215191"/>
        <n v="1.6298181818181818"/>
        <n v="0.20252747252747252"/>
        <n v="3.1924083769633507"/>
        <n v="4.7894444444444444"/>
        <n v="0.19556634304207121"/>
        <n v="1.9894827586206896"/>
        <n v="7.95"/>
        <n v="0.50621082621082625"/>
        <n v="0.57437499999999997"/>
        <n v="1.5562827640984909"/>
        <n v="0.36297297297297298"/>
        <n v="0.58250000000000002"/>
        <n v="2.3739473684210526"/>
        <n v="0.58750000000000002"/>
        <n v="1.8256603773584905"/>
        <n v="7.5436408977556111E-3"/>
        <n v="1.7595330739299611"/>
        <n v="2.3788235294117648"/>
        <n v="4.8805076142131982"/>
        <n v="2.2406666666666668"/>
        <n v="0.18126436781609195"/>
        <n v="0.45847222222222223"/>
        <n v="1.1731541218637993"/>
        <n v="2.173090909090909"/>
        <n v="1.1228571428571428"/>
        <n v="0.72518987341772156"/>
        <n v="2.1230434782608696"/>
        <n v="2.3974657534246577"/>
        <n v="1.8193548387096774"/>
        <n v="1.6413114754098361"/>
        <n v="1.6375968992248063E-2"/>
        <n v="0.49643859649122807"/>
        <n v="1.0970652173913042"/>
        <n v="0.49217948717948717"/>
        <n v="0.62232323232323228"/>
        <n v="0.1305813953488372"/>
        <n v="0.64635416666666667"/>
        <n v="1.5958666666666668"/>
        <n v="0.81420000000000003"/>
        <n v="0.32444767441860467"/>
        <n v="9.9141184124918666E-2"/>
        <n v="0.26694444444444443"/>
        <n v="0.62957446808510642"/>
        <n v="1.6135593220338984"/>
        <n v="10.969379310344827"/>
        <n v="0.70094158075601376"/>
        <n v="0.6"/>
        <n v="3.6709859154929578"/>
        <n v="11.09"/>
        <n v="0.19028784648187633"/>
        <n v="1.2687755102040816"/>
        <n v="7.3463636363636367"/>
        <n v="4.5731034482758622E-2"/>
        <n v="0.85054545454545449"/>
        <n v="1.1929824561403508"/>
        <n v="2.9602777777777778"/>
        <n v="0.84694915254237291"/>
        <n v="3.5578378378378379"/>
        <n v="3.8640909090909092"/>
        <n v="7.9223529411764702"/>
        <n v="1.3703393665158372"/>
        <n v="3.3820833333333336"/>
        <n v="1.0822784810126582"/>
        <n v="0.60757639620653314"/>
        <n v="0.27725490196078434"/>
        <n v="2.283934426229508"/>
        <n v="0.21615194054500414"/>
        <n v="3.73875"/>
        <n v="1.5492592592592593"/>
        <n v="3.2214999999999998"/>
        <n v="0.73957142857142855"/>
        <n v="8.641"/>
        <n v="1.432624584717608"/>
        <n v="0.40281762295081969"/>
        <n v="1.7822388059701493"/>
        <n v="0.84930555555555554"/>
        <n v="1.4593648334624323"/>
        <n v="1.5246153846153847"/>
        <n v="0.67129542790152408"/>
        <n v="0.40307692307692305"/>
        <n v="2.1679032258064517"/>
        <n v="0.52117021276595743"/>
        <n v="4.9958333333333336"/>
        <n v="0.87679487179487181"/>
        <n v="1.131734693877551"/>
        <n v="4.2654838709677421"/>
        <n v="0.77632653061224488"/>
        <n v="0.52496810772501767"/>
        <n v="1.5746762589928058"/>
        <n v="0.72939393939393937"/>
        <n v="0.60565789473684206"/>
        <n v="0.5679129129129129"/>
        <n v="0.56542754275427543"/>
      </sharedItems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g Donation" numFmtId="44">
      <sharedItems containsMixedTypes="1" containsNumber="1" minValue="0" maxValue="113.17073170731707" count="985">
        <n v="0"/>
        <n v="92.151898734177209"/>
        <n v="100.01614035087719"/>
        <n v="103.20833333333333"/>
        <n v="99.339622641509436"/>
        <n v="75.833333333333329"/>
        <n v="60.555555555555557"/>
        <n v="64.93832599118943"/>
        <n v="30.997175141242938"/>
        <n v="72.909090909090907"/>
        <n v="62.9"/>
        <n v="112.22222222222223"/>
        <n v="102.34545454545454"/>
        <n v="105.05102040816327"/>
        <n v="94.144999999999996"/>
        <n v="84.986725663716811"/>
        <n v="110.41"/>
        <n v="107.96236989591674"/>
        <n v="45.103703703703701"/>
        <n v="45.001483679525222"/>
        <n v="105.97134670487107"/>
        <n v="69.055555555555557"/>
        <n v="85.044943820224717"/>
        <n v="105.22535211267606"/>
        <n v="39.003741114852225"/>
        <n v="73.030674846625772"/>
        <n v="35.009459459459457"/>
        <n v="106.6"/>
        <n v="61.997747747747745"/>
        <n v="94.000622665006233"/>
        <n v="112.05426356589147"/>
        <n v="48.008849557522126"/>
        <n v="38.004334633723452"/>
        <n v="35.000184535892231"/>
        <n v="85"/>
        <n v="95.993893129770996"/>
        <n v="68.8125"/>
        <n v="105.97196261682242"/>
        <n v="75.261194029850742"/>
        <n v="57.125"/>
        <n v="75.141414141414145"/>
        <n v="107.42342342342343"/>
        <n v="35.995495495495497"/>
        <n v="26.998873148744366"/>
        <n v="107.56122448979592"/>
        <n v="94.375"/>
        <n v="46.163043478260867"/>
        <n v="47.845637583892618"/>
        <n v="53.007815713698065"/>
        <n v="45.059405940594061"/>
        <n v="2"/>
        <n v="99.006816632583508"/>
        <n v="32.786666666666669"/>
        <n v="59.119617224880386"/>
        <n v="44.93333333333333"/>
        <n v="89.664122137404576"/>
        <n v="70.079268292682926"/>
        <n v="31.059701492537314"/>
        <n v="29.061611374407583"/>
        <n v="30.0859375"/>
        <n v="84.998125000000002"/>
        <n v="82.001775410563695"/>
        <n v="58.040160642570278"/>
        <n v="111.4"/>
        <n v="71.94736842105263"/>
        <n v="61.038135593220339"/>
        <n v="108.91666666666667"/>
        <n v="29.001722017220171"/>
        <n v="58.975609756097562"/>
        <n v="111.82352941176471"/>
        <n v="63.995555555555555"/>
        <n v="85.315789473684205"/>
        <n v="74.481481481481481"/>
        <n v="105.14772727272727"/>
        <n v="56.188235294117646"/>
        <n v="85.917647058823533"/>
        <n v="57.00296912114014"/>
        <n v="79.642857142857139"/>
        <n v="41.018181818181816"/>
        <n v="48.004773269689736"/>
        <n v="55.212598425196852"/>
        <n v="92.109489051094897"/>
        <n v="83.183333333333337"/>
        <n v="39.996000000000002"/>
        <n v="111.1336898395722"/>
        <n v="90.563380281690144"/>
        <n v="61.108374384236456"/>
        <n v="83.022941970310384"/>
        <n v="110.76106194690266"/>
        <n v="89.458333333333329"/>
        <n v="57.849056603773583"/>
        <n v="109.99705449189985"/>
        <n v="103.96586345381526"/>
        <n v="107.99508196721311"/>
        <n v="48.927777777777777"/>
        <n v="37.666666666666664"/>
        <n v="64.999141999141997"/>
        <n v="106.61061946902655"/>
        <n v="27.009016393442622"/>
        <n v="91.16463414634147"/>
        <n v="1"/>
        <n v="56.054878048780488"/>
        <n v="31.017857142857142"/>
        <n v="66.513513513513516"/>
        <n v="89.005216484089729"/>
        <n v="103.46315789473684"/>
        <n v="95.278911564625844"/>
        <n v="75.895348837209298"/>
        <n v="107.57831325301204"/>
        <n v="51.31666666666667"/>
        <n v="71.983108108108112"/>
        <n v="108.95414201183432"/>
        <n v="35"/>
        <n v="94.938931297709928"/>
        <n v="109.65079365079364"/>
        <n v="44.001815980629537"/>
        <n v="86.794520547945211"/>
        <n v="30.992727272727272"/>
        <n v="94.791044776119406"/>
        <n v="69.79220779220779"/>
        <n v="63.003367003367003"/>
        <n v="110.0343300110742"/>
        <n v="25.997933274284026"/>
        <n v="49.987915407854985"/>
        <n v="101.72340425531915"/>
        <n v="47.083333333333336"/>
        <n v="89.944444444444443"/>
        <n v="78.96875"/>
        <n v="80.067669172932327"/>
        <n v="86.472727272727269"/>
        <n v="28.001876172607879"/>
        <n v="67.996725337699544"/>
        <n v="43.078651685393261"/>
        <n v="87.95597484276729"/>
        <n v="94.987234042553197"/>
        <n v="46.905982905982903"/>
        <n v="46.913793103448278"/>
        <n v="94.24"/>
        <n v="80.139130434782615"/>
        <n v="59.036809815950917"/>
        <n v="65.989247311827953"/>
        <n v="60.992530345471522"/>
        <n v="98.307692307692307"/>
        <n v="104.6"/>
        <n v="86.066666666666663"/>
        <n v="76.989583333333329"/>
        <n v="29.764705882352942"/>
        <n v="46.91959798994975"/>
        <n v="105.18691588785046"/>
        <n v="69.907692307692301"/>
        <n v="60.011588275391958"/>
        <n v="52.006220379146917"/>
        <n v="31.000176025347649"/>
        <n v="95.042492917847028"/>
        <n v="75.968174204355108"/>
        <n v="71.013192612137203"/>
        <n v="73.733333333333334"/>
        <n v="113.17073170731707"/>
        <n v="105.00933552992861"/>
        <n v="79.176829268292678"/>
        <n v="57.333333333333336"/>
        <n v="58.178343949044589"/>
        <n v="36.032520325203251"/>
        <n v="107.99068767908309"/>
        <n v="44.005985634477256"/>
        <n v="55.077868852459019"/>
        <n v="74"/>
        <n v="41.996858638743454"/>
        <n v="77.988161010260455"/>
        <n v="82.507462686567166"/>
        <n v="104.2"/>
        <n v="25.5"/>
        <n v="100.98334401024984"/>
        <n v="111.83333333333333"/>
        <n v="41.999115044247787"/>
        <n v="110.05115089514067"/>
        <n v="58.997079225994888"/>
        <n v="32.985714285714288"/>
        <n v="45.005654509471306"/>
        <n v="81.98196487897485"/>
        <n v="39.080882352941174"/>
        <n v="58.996383363471971"/>
        <n v="40.988372093023258"/>
        <n v="31.029411764705884"/>
        <n v="37.789473684210527"/>
        <n v="32.006772009029348"/>
        <n v="95.966712898751737"/>
        <n v="75"/>
        <n v="102.0498866213152"/>
        <n v="105.75"/>
        <n v="37.069767441860463"/>
        <n v="35.049382716049379"/>
        <n v="46.338461538461537"/>
        <n v="69.174603174603178"/>
        <n v="109.07824427480917"/>
        <n v="51.78"/>
        <n v="82.010055304172951"/>
        <n v="35.958333333333336"/>
        <n v="74.461538461538467"/>
        <n v="91.114649681528661"/>
        <n v="79.792682926829272"/>
        <n v="42.999777678968428"/>
        <n v="63.225000000000001"/>
        <n v="70.174999999999997"/>
        <n v="61.333333333333336"/>
        <n v="99"/>
        <n v="96.984900146127615"/>
        <n v="51.004950495049506"/>
        <n v="28.044247787610619"/>
        <n v="60.984615384615381"/>
        <n v="73.214285714285708"/>
        <n v="39.997435299603637"/>
        <n v="86.812121212121212"/>
        <n v="42.125874125874127"/>
        <n v="103.97851239669421"/>
        <n v="62.003211991434689"/>
        <n v="31.005037783375315"/>
        <n v="89.991552956465242"/>
        <n v="39.235294117647058"/>
        <n v="54.993116108306566"/>
        <n v="47.992753623188406"/>
        <n v="87.966702470461868"/>
        <n v="51.999165275459099"/>
        <n v="29.999659863945578"/>
        <n v="98.205357142857139"/>
        <n v="108.96182396606575"/>
        <n v="66.998379254457049"/>
        <n v="64.99333594668758"/>
        <n v="99.841584158415841"/>
        <n v="82.432835820895519"/>
        <n v="63.293478260869563"/>
        <n v="96.774193548387103"/>
        <n v="54.906040268456373"/>
        <n v="39.010869565217391"/>
        <n v="75.84210526315789"/>
        <n v="45.051671732522799"/>
        <n v="104.51546391752578"/>
        <n v="76.268292682926827"/>
        <n v="69.015695067264573"/>
        <n v="101.97684085510689"/>
        <n v="42.915999999999997"/>
        <n v="43.025210084033617"/>
        <n v="75.245283018867923"/>
        <n v="69.023364485981304"/>
        <n v="65.986486486486484"/>
        <n v="98.013800424628457"/>
        <n v="60.105504587155963"/>
        <n v="26.000773395204948"/>
        <n v="3"/>
        <n v="38.019801980198018"/>
        <n v="106.15254237288136"/>
        <n v="81.019475655430711"/>
        <n v="96.647727272727266"/>
        <n v="57.003535651149086"/>
        <n v="63.93333333333333"/>
        <n v="90.456521739130437"/>
        <n v="72.172043010752688"/>
        <n v="77.934782608695656"/>
        <n v="38.065134099616856"/>
        <n v="57.936123348017624"/>
        <n v="49.794392523364486"/>
        <n v="54.050251256281406"/>
        <n v="30.002721335268504"/>
        <n v="70.127906976744185"/>
        <n v="26.996228786926462"/>
        <n v="51.990606936416185"/>
        <n v="56.416666666666664"/>
        <n v="101.63218390804597"/>
        <n v="25.005291005291006"/>
        <n v="32.016393442622949"/>
        <n v="82.021647307286173"/>
        <n v="37.957446808510639"/>
        <n v="51.533333333333331"/>
        <n v="81.198275862068968"/>
        <n v="40.030075187969928"/>
        <n v="89.939759036144579"/>
        <n v="96.692307692307693"/>
        <n v="25.010989010989011"/>
        <n v="36.987277353689571"/>
        <n v="73.012609117361791"/>
        <n v="68.240601503759393"/>
        <n v="52.310344827586206"/>
        <n v="61.765151515151516"/>
        <n v="25.027559055118111"/>
        <n v="106.28804347826087"/>
        <n v="75.07386363636364"/>
        <n v="39.970802919708028"/>
        <n v="39.982195845697326"/>
        <n v="101.01541850220265"/>
        <n v="76.813084112149539"/>
        <n v="71.7"/>
        <n v="33.28125"/>
        <n v="43.923497267759565"/>
        <n v="36.004712041884815"/>
        <n v="88.21052631578948"/>
        <n v="65.240384615384613"/>
        <n v="69.958333333333329"/>
        <n v="39.877551020408163"/>
        <n v="5"/>
        <n v="41.023728813559323"/>
        <n v="98.914285714285711"/>
        <n v="87.78125"/>
        <n v="80.767605633802816"/>
        <n v="94.28235294117647"/>
        <n v="73.428571428571431"/>
        <n v="65.968133535660087"/>
        <n v="109.04109589041096"/>
        <n v="41.16"/>
        <n v="99.125"/>
        <n v="105.88429752066116"/>
        <n v="48.996525921966864"/>
        <n v="39"/>
        <n v="31.022556390977442"/>
        <n v="103.87096774193549"/>
        <n v="59.268518518518519"/>
        <n v="42.3"/>
        <n v="53.117647058823529"/>
        <n v="50.796875"/>
        <n v="101.15"/>
        <n v="65.000810372771468"/>
        <n v="37.998645510835914"/>
        <n v="82.615384615384613"/>
        <n v="37.941368078175898"/>
        <n v="80.780821917808225"/>
        <n v="25.984375"/>
        <n v="30.363636363636363"/>
        <n v="54.004916018025398"/>
        <n v="101.78672985781991"/>
        <n v="45.003610108303249"/>
        <n v="77.068421052631578"/>
        <n v="88.076595744680844"/>
        <n v="47.035573122529641"/>
        <n v="110.99550763701707"/>
        <n v="87.003066141042481"/>
        <n v="63.994402985074629"/>
        <n v="105.9945205479452"/>
        <n v="73.989349112426041"/>
        <n v="84.02004626060139"/>
        <n v="88.966921119592882"/>
        <n v="76.990453460620529"/>
        <n v="97.146341463414629"/>
        <n v="33.013605442176868"/>
        <n v="99.950602409638549"/>
        <n v="69.966767371601208"/>
        <n v="110.32"/>
        <n v="66.005235602094245"/>
        <n v="41.005742176284812"/>
        <n v="103.96316359696641"/>
        <n v="47.009935419771487"/>
        <n v="29.606060606060606"/>
        <n v="81.010569583088667"/>
        <n v="94.35"/>
        <n v="26.058139534883722"/>
        <n v="85.775000000000006"/>
        <n v="103.73170731707317"/>
        <n v="49.826086956521742"/>
        <n v="63.893048128342244"/>
        <n v="47.002434782608695"/>
        <n v="108.47727272727273"/>
        <n v="72.015706806282722"/>
        <n v="59.928057553956833"/>
        <n v="78.209677419354833"/>
        <n v="104.77678571428571"/>
        <n v="105.52475247524752"/>
        <n v="24.933333333333334"/>
        <n v="69.873786407766985"/>
        <n v="95.733766233766232"/>
        <n v="29.997485752598056"/>
        <n v="59.011948529411768"/>
        <n v="84.757396449704146"/>
        <n v="78.010921177587846"/>
        <n v="50.05215419501134"/>
        <n v="59.16"/>
        <n v="93.702290076335885"/>
        <n v="40.14173228346457"/>
        <n v="70.090140845070422"/>
        <n v="66.181818181818187"/>
        <n v="47.714285714285715"/>
        <n v="62.896774193548389"/>
        <n v="86.611940298507463"/>
        <n v="75.126984126984127"/>
        <n v="41.004167534903104"/>
        <n v="50.007915567282325"/>
        <n v="96.960674157303373"/>
        <n v="100.93160377358491"/>
        <n v="89.227586206896547"/>
        <n v="87.979166666666671"/>
        <n v="89.54"/>
        <n v="29.09271523178808"/>
        <n v="42.006218905472636"/>
        <n v="47.004903563255965"/>
        <n v="110.44117647058823"/>
        <n v="41.990909090909092"/>
        <n v="48.012468827930178"/>
        <n v="31.019823788546255"/>
        <n v="99.203252032520325"/>
        <n v="66.022316684378325"/>
        <n v="46.060200668896321"/>
        <n v="73.650000000000006"/>
        <n v="55.99336650082919"/>
        <n v="68.985695127402778"/>
        <n v="60.981609195402299"/>
        <n v="110.98139534883721"/>
        <n v="25"/>
        <n v="78.759740259740255"/>
        <n v="87.960784313725483"/>
        <n v="49.987398739873989"/>
        <n v="99.524390243902445"/>
        <n v="104.82089552238806"/>
        <n v="108.01469237832875"/>
        <n v="28.998544660724033"/>
        <n v="30.028708133971293"/>
        <n v="41.005559416261292"/>
        <n v="62.866666666666667"/>
        <n v="47.005002501250623"/>
        <n v="26.997693638285604"/>
        <n v="68.329787234042556"/>
        <n v="50.974576271186443"/>
        <n v="54.024390243902438"/>
        <n v="97.055555555555557"/>
        <n v="24.867469879518072"/>
        <n v="84.423913043478265"/>
        <n v="47.091324200913242"/>
        <n v="77.996041171813147"/>
        <n v="62.967871485943775"/>
        <n v="81.006080449017773"/>
        <n v="65.321428571428569"/>
        <n v="104.43617021276596"/>
        <n v="69.989010989010993"/>
        <n v="83.023989898989896"/>
        <n v="90.3"/>
        <n v="103.98131932282546"/>
        <n v="54.931726907630519"/>
        <n v="51.921875"/>
        <n v="60.02834008097166"/>
        <n v="44.003488879197555"/>
        <n v="53.003513254551258"/>
        <n v="54.5"/>
        <n v="75.04195804195804"/>
        <n v="35.911111111111111"/>
        <n v="36.952702702702702"/>
        <n v="63.170588235294119"/>
        <n v="29.99462365591398"/>
        <n v="86"/>
        <n v="75.014876033057845"/>
        <n v="101.19767441860465"/>
        <n v="4"/>
        <n v="29.001272669424118"/>
        <n v="98.225806451612897"/>
        <n v="87.001693480101608"/>
        <n v="45.205128205128204"/>
        <n v="37.001341561577675"/>
        <n v="94.976947040498445"/>
        <n v="28.956521739130434"/>
        <n v="55.993396226415094"/>
        <n v="54.038095238095238"/>
        <n v="82.38"/>
        <n v="66.997115384615384"/>
        <n v="107.91401869158878"/>
        <n v="69.009501187648453"/>
        <n v="39.006568144499177"/>
        <n v="110.3625"/>
        <n v="94.857142857142861"/>
        <n v="57.935251798561154"/>
        <n v="101.25"/>
        <n v="64.95597484276729"/>
        <n v="27.00524934383202"/>
        <n v="50.97422680412371"/>
        <n v="104.94260869565217"/>
        <n v="84.028301886792448"/>
        <n v="102.85915492957747"/>
        <n v="39.962085308056871"/>
        <n v="51.001785714285717"/>
        <n v="40.823008849557525"/>
        <n v="58.999637155297535"/>
        <n v="71.156069364161851"/>
        <n v="99.494252873563212"/>
        <n v="103.98634590377114"/>
        <n v="76.555555555555557"/>
        <n v="87.068592057761734"/>
        <n v="48.99554707379135"/>
        <n v="42.969135802469133"/>
        <n v="33.428571428571431"/>
        <n v="83.982949701619773"/>
        <n v="101.41739130434783"/>
        <n v="109.87058823529412"/>
        <n v="31.916666666666668"/>
        <n v="70.993450675399103"/>
        <n v="77.026890756302521"/>
        <n v="101.78125"/>
        <n v="51.059701492537314"/>
        <n v="68.02051282051282"/>
        <n v="30.87037037037037"/>
        <n v="27.908333333333335"/>
        <n v="79.994818652849744"/>
        <n v="38.003378378378379"/>
        <e v="#DIV/0!"/>
        <n v="59.990534521158132"/>
        <n v="37.037634408602152"/>
        <n v="99.963043478260872"/>
        <n v="111.6774193548387"/>
        <n v="36.014409221902014"/>
        <n v="66.010284810126578"/>
        <n v="44.05263157894737"/>
        <n v="52.999726551818434"/>
        <n v="95"/>
        <n v="70.908396946564892"/>
        <n v="98.060773480662988"/>
        <n v="53.046025104602514"/>
        <n v="93.142857142857139"/>
        <n v="58.945075757575758"/>
        <n v="36.067669172932334"/>
        <n v="63.030732860520096"/>
        <n v="84.717948717948715"/>
        <n v="62.2"/>
        <n v="101.97518330513255"/>
        <n v="106.4375"/>
        <n v="29.975609756097562"/>
        <n v="85.806282722513089"/>
        <n v="70.82022471910112"/>
        <n v="40.998484082870135"/>
        <n v="28.063492063492063"/>
        <n v="88.054421768707485"/>
        <n v="31"/>
        <n v="90.337500000000006"/>
        <n v="63.777777777777779"/>
        <n v="53.995515695067262"/>
        <n v="48.993956043956047"/>
        <n v="63.857142857142854"/>
        <n v="82.996393146979258"/>
        <n v="55.08230452674897"/>
        <n v="62.044554455445542"/>
        <n v="104.97857142857143"/>
        <n v="94.044676806083643"/>
        <n v="44.007716049382715"/>
        <n v="92.467532467532465"/>
        <n v="57.072874493927124"/>
        <n v="109.07848101265823"/>
        <n v="39.387755102040813"/>
        <n v="77.022222222222226"/>
        <n v="92.166666666666671"/>
        <n v="61.007063197026021"/>
        <n v="78.068181818181813"/>
        <n v="80.75"/>
        <n v="59.991289782244557"/>
        <n v="110.03018372703411"/>
        <n v="37.99856063332134"/>
        <n v="96.369565217391298"/>
        <n v="72.978599221789878"/>
        <n v="26.007220216606498"/>
        <n v="104.36296296296297"/>
        <n v="102.18852459016394"/>
        <n v="54.117647058823529"/>
        <n v="63.222222222222221"/>
        <n v="104.03228962818004"/>
        <n v="49.994334277620396"/>
        <n v="56.015151515151516"/>
        <n v="48.807692307692307"/>
        <n v="60.082352941176474"/>
        <n v="78.990502793296088"/>
        <n v="53.99499443826474"/>
        <n v="111.45945945945945"/>
        <n v="60.922131147540981"/>
        <n v="26.0015444015444"/>
        <n v="80.993208828522924"/>
        <n v="34.995963302752294"/>
        <n v="94.142857142857139"/>
        <n v="52.085106382978722"/>
        <n v="24.986666666666668"/>
        <n v="69.215277777777771"/>
        <n v="93.944444444444443"/>
        <n v="98.40625"/>
        <n v="41.783783783783782"/>
        <n v="65.991836734693877"/>
        <n v="72.05747126436782"/>
        <n v="48.003209242618745"/>
        <n v="54.098591549295776"/>
        <n v="107.88095238095238"/>
        <n v="67.034103410341032"/>
        <n v="64.01425914445133"/>
        <n v="96.066176470588232"/>
        <n v="51.184615384615384"/>
        <n v="43.92307692307692"/>
        <n v="91.021198830409361"/>
        <n v="50.127450980392155"/>
        <n v="67.720930232558146"/>
        <n v="61.03921568627451"/>
        <n v="80.011857707509876"/>
        <n v="47.001497753369947"/>
        <n v="71.127388535031841"/>
        <n v="89.99079189686924"/>
        <n v="43.032786885245905"/>
        <n v="67.997714808043881"/>
        <n v="73.004566210045667"/>
        <n v="62.341463414634148"/>
        <n v="67.103092783505161"/>
        <n v="79.978947368421046"/>
        <n v="62.176470588235297"/>
        <n v="53.005950297514879"/>
        <n v="57.738317757009348"/>
        <n v="40.03125"/>
        <n v="81.016591928251117"/>
        <n v="35.047468354430379"/>
        <n v="102.92307692307692"/>
        <n v="27.998126756166094"/>
        <n v="75.733333333333334"/>
        <n v="45.026041666666664"/>
        <n v="73.615384615384613"/>
        <n v="56.991701244813278"/>
        <n v="85.223529411764702"/>
        <n v="50.962184873949582"/>
        <n v="63.563636363636363"/>
        <n v="80.999165275459092"/>
        <n v="86.044753086419746"/>
        <n v="90.0390625"/>
        <n v="74.006063432835816"/>
        <n v="92.4375"/>
        <n v="55.999257333828446"/>
        <n v="32.983796296296298"/>
        <n v="93.596774193548384"/>
        <n v="69.867724867724874"/>
        <n v="72.129870129870127"/>
        <n v="30.041666666666668"/>
        <n v="73.968000000000004"/>
        <n v="68.65517241379311"/>
        <n v="59.992164544564154"/>
        <n v="111.15827338129496"/>
        <n v="53.038095238095238"/>
        <n v="55.985524728588658"/>
        <n v="69.986760812003524"/>
        <n v="48.998079877112133"/>
        <n v="103.84615384615384"/>
        <n v="99.127659574468083"/>
        <n v="107.37777777777778"/>
        <n v="76.922178988326849"/>
        <n v="58.128865979381445"/>
        <n v="103.73643410852713"/>
        <n v="87.962666666666664"/>
        <n v="28"/>
        <n v="37.999361294443261"/>
        <n v="29.999313893653515"/>
        <n v="103.5"/>
        <n v="85.994467496542185"/>
        <n v="98.011627906976742"/>
        <n v="44.994570837642193"/>
        <n v="31.012224938875306"/>
        <n v="59.970085470085472"/>
        <n v="58.9973474801061"/>
        <n v="50.045454545454547"/>
        <n v="98.966269841269835"/>
        <n v="58.857142857142854"/>
        <n v="81.010256410256417"/>
        <n v="76.013333333333335"/>
        <n v="96.597402597402592"/>
        <n v="76.957446808510639"/>
        <n v="67.984732824427482"/>
        <n v="88.781609195402297"/>
        <n v="24.99623706491063"/>
        <n v="44.922794117647058"/>
        <n v="79.400000000000006"/>
        <n v="29.009546539379475"/>
        <n v="73.59210526315789"/>
        <n v="107.97038864898211"/>
        <n v="68.987284287011803"/>
        <n v="111.02236719478098"/>
        <n v="24.997515808491418"/>
        <n v="42.155172413793103"/>
        <n v="47.003284072249592"/>
        <n v="36.0392749244713"/>
        <n v="101.03760683760684"/>
        <n v="39.927927927927925"/>
        <n v="83.158139534883716"/>
        <n v="39.97520661157025"/>
        <n v="47.993908629441627"/>
        <n v="95.978877489438744"/>
        <n v="78.728155339805824"/>
        <n v="56.081632653061227"/>
        <n v="69.090909090909093"/>
        <n v="102.05291576673866"/>
        <n v="107.32089552238806"/>
        <n v="51.970260223048328"/>
        <n v="71.137142857142862"/>
        <n v="106.49275362318841"/>
        <n v="42.93684210526316"/>
        <n v="30.037974683544302"/>
        <n v="70.623376623376629"/>
        <n v="66.016018306636155"/>
        <n v="96.911392405063296"/>
        <n v="62.867346938775512"/>
        <n v="108.98537682789652"/>
        <n v="26.999314599040439"/>
        <n v="65.004147943311438"/>
        <n v="111.51785714285714"/>
        <n v="110.99268292682927"/>
        <n v="56.746987951807228"/>
        <n v="97.020608439646708"/>
        <n v="92.08620689655173"/>
        <n v="82.986666666666665"/>
        <n v="103.03791821561339"/>
        <n v="68.922619047619051"/>
        <n v="87.737226277372258"/>
        <n v="75.021505376344081"/>
        <n v="50.863999999999997"/>
        <n v="90"/>
        <n v="72.896039603960389"/>
        <n v="108.48543689320388"/>
        <n v="101.98095238095237"/>
        <n v="44.009146341463413"/>
        <n v="65.942675159235662"/>
        <n v="24.987387387387386"/>
        <n v="28.003367003367003"/>
        <n v="85.829268292682926"/>
        <n v="84.921052631578945"/>
        <n v="90.483333333333334"/>
        <n v="25.00197628458498"/>
        <n v="92.013888888888886"/>
        <n v="93.066115702479337"/>
        <n v="61.008145363408524"/>
        <n v="92.036259541984734"/>
        <n v="81.132596685082873"/>
        <n v="73.5"/>
        <n v="85.221311475409834"/>
        <n v="110.96825396825396"/>
        <n v="32.968036529680369"/>
        <n v="96.005352363960753"/>
        <n v="84.96632653061225"/>
        <n v="25.007462686567163"/>
        <n v="65.998995479658461"/>
        <n v="87.34482758620689"/>
        <n v="27.933333333333334"/>
        <n v="103.8"/>
        <n v="31.937172774869111"/>
        <n v="99.5"/>
        <n v="108.84615384615384"/>
        <n v="110.76229508196721"/>
        <n v="29.647058823529413"/>
        <n v="101.71428571428571"/>
        <n v="61.5"/>
        <n v="40.049999999999997"/>
        <n v="110.97231270358306"/>
        <n v="36.959016393442624"/>
        <n v="30.974074074074075"/>
        <n v="47.035087719298247"/>
        <n v="88.065693430656935"/>
        <n v="37.005616224648989"/>
        <n v="26.027777777777779"/>
        <n v="67.817567567567565"/>
        <n v="49.964912280701753"/>
        <n v="110.01646903820817"/>
        <n v="89.964678178963894"/>
        <n v="79.009523809523813"/>
        <n v="86.867469879518069"/>
        <n v="62.04"/>
        <n v="26.970212765957445"/>
        <n v="54.121621621621621"/>
        <n v="41.035353535353536"/>
        <n v="55.052419354838712"/>
        <n v="107.93762183235867"/>
        <n v="73.92"/>
        <n v="31.995894428152493"/>
        <n v="53.898148148148145"/>
        <n v="106.5"/>
        <n v="32.999805409612762"/>
        <n v="43.00254993625159"/>
        <n v="86.858974358974365"/>
        <n v="96.8"/>
        <n v="32.995456610631528"/>
        <n v="68.028106508875737"/>
        <n v="58.867816091954026"/>
        <n v="105.04572803850782"/>
        <n v="33.054878048780488"/>
        <n v="78.821428571428569"/>
        <n v="68.204968944099377"/>
        <n v="75.731884057971016"/>
        <n v="30.996070133010882"/>
        <n v="101.88188976377953"/>
        <n v="52.879227053140099"/>
        <n v="71.005820721769496"/>
        <n v="102.38709677419355"/>
        <n v="74.466666666666669"/>
        <n v="51.009883198562441"/>
        <n v="97.142857142857139"/>
        <n v="72.071823204419886"/>
        <n v="75.236363636363635"/>
        <n v="32.967741935483872"/>
        <n v="54.807692307692307"/>
        <n v="45.037837837837834"/>
        <n v="52.958677685950413"/>
        <n v="60.017959183673469"/>
        <n v="44.028301886792455"/>
        <n v="86.028169014084511"/>
        <n v="28.012875536480685"/>
        <n v="32.050458715596328"/>
        <n v="73.611940298507463"/>
        <n v="108.71052631578948"/>
        <n v="42.97674418604651"/>
        <n v="83.315789473684205"/>
        <n v="42"/>
        <n v="55.927601809954751"/>
        <n v="105.03681885125184"/>
        <n v="48"/>
        <n v="112.66176470588235"/>
        <n v="81.944444444444443"/>
        <n v="64.049180327868854"/>
        <n v="106.39097744360902"/>
        <n v="76.011249497790274"/>
        <n v="111.07246376811594"/>
        <n v="95.936170212765958"/>
        <n v="43.043010752688176"/>
        <n v="67.966666666666669"/>
        <n v="89.991428571428571"/>
        <n v="58.095238095238095"/>
        <n v="83.996875000000003"/>
        <n v="88.853503184713375"/>
        <n v="65.963917525773198"/>
        <n v="74.804878048780495"/>
        <n v="69.98571428571428"/>
        <n v="32.006493506493506"/>
        <n v="64.727272727272734"/>
        <n v="24.998110087408456"/>
        <n v="104.97764070932922"/>
        <n v="64.987878787878785"/>
        <n v="94.352941176470594"/>
        <n v="44.001706484641637"/>
        <n v="64.744680851063833"/>
        <n v="84.00667779632721"/>
        <n v="34.061302681992338"/>
        <n v="93.273885350318466"/>
        <n v="32.998301726577978"/>
        <n v="83.812903225806451"/>
        <n v="63.992424242424242"/>
        <n v="81.909090909090907"/>
        <n v="93.053191489361708"/>
        <n v="101.98449039881831"/>
        <n v="105.9375"/>
        <n v="101.58181818181818"/>
        <n v="62.970930232558139"/>
        <n v="29.045602605863191"/>
        <n v="77.924999999999997"/>
        <n v="80.806451612903231"/>
        <n v="76.006816632583508"/>
        <n v="72.993613824192337"/>
        <n v="53"/>
        <n v="54.164556962025316"/>
        <n v="32.946666666666665"/>
        <n v="79.371428571428567"/>
        <n v="41.174603174603178"/>
        <n v="77.430769230769229"/>
        <n v="57.159509202453989"/>
        <n v="77.17647058823529"/>
        <n v="24.953917050691246"/>
        <n v="97.18"/>
        <n v="46.000916870415651"/>
        <n v="88.023385300668153"/>
        <n v="25.99"/>
        <n v="102.69047619047619"/>
        <n v="72.958174904942965"/>
        <n v="57.190082644628099"/>
        <n v="84.013793103448279"/>
        <n v="98.666666666666671"/>
        <n v="42.007419183889773"/>
        <n v="32.002753556677376"/>
        <n v="81.567164179104481"/>
        <n v="37.035087719298247"/>
        <n v="103.033360455655"/>
        <n v="84.333333333333329"/>
        <n v="102.60377358490567"/>
        <n v="79.992129246064621"/>
        <n v="70.055309734513273"/>
        <n v="37"/>
        <n v="41.911917098445599"/>
        <n v="57.992576882290564"/>
        <n v="40.942307692307693"/>
        <n v="69.9972602739726"/>
        <n v="73.838709677419359"/>
        <n v="41.979310344827589"/>
        <n v="77.93442622950819"/>
        <n v="106.01972789115646"/>
        <n v="47.018181818181816"/>
        <n v="76.016483516483518"/>
        <n v="54.120603015075375"/>
        <n v="57.285714285714285"/>
        <n v="103.81308411214954"/>
        <n v="105.02602739726028"/>
        <n v="90.259259259259252"/>
        <n v="76.978705978705975"/>
        <n v="102.60162601626017"/>
        <n v="55.0062893081761"/>
        <n v="32.127272727272725"/>
        <n v="50.642857142857146"/>
        <n v="49.6875"/>
        <n v="54.894067796610166"/>
        <n v="46.931937172774866"/>
        <n v="44.951219512195124"/>
        <n v="30.99898322318251"/>
        <n v="107.7625"/>
        <n v="102.07770270270271"/>
        <n v="24.976190476190474"/>
        <n v="79.944134078212286"/>
        <n v="67.946462715105156"/>
        <n v="26.070921985815602"/>
        <n v="105.0032154340836"/>
        <n v="25.826923076923077"/>
        <n v="77.666666666666671"/>
        <n v="57.82692307692308"/>
        <n v="92.955555555555549"/>
        <n v="37.945098039215686"/>
        <n v="31.842105263157894"/>
        <n v="40"/>
        <n v="101.1"/>
        <n v="84.006989951944078"/>
        <n v="103.41538461538461"/>
        <n v="105.13333333333334"/>
        <n v="89.21621621621621"/>
        <n v="51.995234312946785"/>
        <n v="64.956521739130437"/>
        <n v="46.235294117647058"/>
        <n v="51.151785714285715"/>
        <n v="33.909722222222221"/>
        <n v="92.016298633017882"/>
        <n v="107.42857142857143"/>
        <n v="75.848484848484844"/>
        <n v="80.476190476190482"/>
        <n v="86.978483606557376"/>
        <n v="105.13541666666667"/>
        <n v="57.298507462686565"/>
        <n v="93.348484848484844"/>
        <n v="71.987179487179489"/>
        <n v="92.611940298507463"/>
        <n v="104.99122807017544"/>
        <n v="30.958174904942965"/>
        <n v="33.001182732111175"/>
        <n v="84.187845303867405"/>
        <n v="73.92307692307692"/>
        <n v="36.987499999999997"/>
        <n v="46.896551724137929"/>
        <n v="102.02437459910199"/>
        <n v="45.007502206531335"/>
        <n v="94.285714285714292"/>
        <n v="101.02325581395348"/>
        <n v="97.037499999999994"/>
        <n v="43.00963855421687"/>
        <n v="94.916030534351151"/>
        <n v="72.151785714285708"/>
        <n v="51.007692307692309"/>
        <n v="85.054545454545448"/>
        <n v="43.87096774193548"/>
        <n v="40.063909774436091"/>
        <n v="43.833333333333336"/>
        <n v="84.92903225806451"/>
        <n v="41.067632850241544"/>
        <n v="54.971428571428568"/>
        <n v="77.010807374443743"/>
        <n v="71.201754385964918"/>
        <n v="91.935483870967744"/>
        <n v="97.069023569023571"/>
        <n v="58.916666666666664"/>
        <n v="58.015466983938133"/>
        <n v="103.87301587301587"/>
        <n v="93.46875"/>
        <n v="61.970370370370368"/>
        <n v="92.042857142857144"/>
        <n v="77.268656716417908"/>
        <n v="93.923913043478265"/>
        <n v="84.969458128078813"/>
        <n v="105.97035040431267"/>
        <n v="36.969040247678016"/>
        <n v="81.533333333333331"/>
        <n v="80.999140154772135"/>
        <n v="26.010498687664043"/>
        <n v="25.998410896708286"/>
        <n v="34.173913043478258"/>
        <n v="28.002083333333335"/>
        <n v="76.546875"/>
        <n v="53.053097345132741"/>
        <n v="106.859375"/>
        <n v="46.020746887966808"/>
        <n v="100.17424242424242"/>
        <n v="101.44"/>
        <n v="87.972684085510693"/>
        <n v="74.995594713656388"/>
        <n v="42.982142857142854"/>
        <n v="33.115107913669064"/>
        <n v="101.13101604278074"/>
        <n v="55.98841354723708"/>
      </sharedItems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sistant" refreshedDate="45077.594442592592" createdVersion="8" refreshedVersion="8" minRefreshableVersion="3" recordCount="1000" xr:uid="{6ECCAC39-2192-4B63-A82F-11C629E45D98}">
  <cacheSource type="worksheet">
    <worksheetSource ref="B1:T1001" sheet="Crowdfunding"/>
  </cacheSource>
  <cacheFields count="17"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%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g Donation" numFmtId="44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sistant" refreshedDate="45077.605803240738" createdVersion="8" refreshedVersion="8" minRefreshableVersion="3" recordCount="1000" xr:uid="{5A8B2B21-8D7A-45DB-B9C7-5FA78BA41C42}">
  <cacheSource type="worksheet">
    <worksheetSource ref="C1:T1001" sheet="Crowdfunding"/>
  </cacheSource>
  <cacheFields count="20"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%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g Donation" numFmtId="44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19" base="11">
        <rangePr groupBy="months" startDate="2010-01-09T06:00:00" endDate="2020-01-27T06:00:00"/>
        <groupItems count="14">
          <s v="&lt;9/0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1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Quarters" numFmtId="0" databaseField="0">
      <fieldGroup base="11">
        <rangePr groupBy="quarters" startDate="2010-01-09T06:00:00" endDate="2020-01-27T06:00:00"/>
        <groupItems count="6">
          <s v="&lt;9/01/2010"/>
          <s v="Qtr1"/>
          <s v="Qtr2"/>
          <s v="Qtr3"/>
          <s v="Qtr4"/>
          <s v="&gt;27/01/2020"/>
        </groupItems>
      </fieldGroup>
    </cacheField>
    <cacheField name="Years" numFmtId="0" databaseField="0">
      <fieldGroup base="11">
        <rangePr groupBy="years" startDate="2010-01-09T06:00:00" endDate="2020-01-27T06:00:00"/>
        <groupItems count="13">
          <s v="&lt;9/0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0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x v="0"/>
    <x v="0"/>
    <x v="0"/>
    <n v="0"/>
    <x v="0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x v="1"/>
    <x v="1"/>
    <x v="1"/>
    <n v="158"/>
    <x v="1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x v="2"/>
    <x v="2"/>
    <x v="1"/>
    <n v="1425"/>
    <x v="2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x v="3"/>
    <x v="3"/>
    <x v="0"/>
    <n v="24"/>
    <x v="3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x v="4"/>
    <x v="4"/>
    <x v="0"/>
    <n v="53"/>
    <x v="4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x v="5"/>
    <x v="5"/>
    <x v="1"/>
    <n v="174"/>
    <x v="5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x v="6"/>
    <x v="6"/>
    <x v="0"/>
    <n v="18"/>
    <x v="6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x v="7"/>
    <x v="7"/>
    <x v="1"/>
    <n v="227"/>
    <x v="7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x v="8"/>
    <x v="8"/>
    <x v="2"/>
    <n v="708"/>
    <x v="8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x v="9"/>
    <x v="9"/>
    <x v="0"/>
    <n v="44"/>
    <x v="9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x v="10"/>
    <x v="10"/>
    <x v="1"/>
    <n v="220"/>
    <x v="10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x v="11"/>
    <x v="11"/>
    <x v="0"/>
    <n v="27"/>
    <x v="11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x v="12"/>
    <x v="12"/>
    <x v="0"/>
    <n v="55"/>
    <x v="12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x v="13"/>
    <x v="13"/>
    <x v="1"/>
    <n v="98"/>
    <x v="13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x v="14"/>
    <x v="14"/>
    <x v="0"/>
    <n v="200"/>
    <x v="14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x v="15"/>
    <x v="15"/>
    <x v="0"/>
    <n v="452"/>
    <x v="15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x v="16"/>
    <x v="16"/>
    <x v="1"/>
    <n v="100"/>
    <x v="16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x v="17"/>
    <x v="17"/>
    <x v="1"/>
    <n v="1249"/>
    <x v="17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x v="18"/>
    <x v="18"/>
    <x v="3"/>
    <n v="135"/>
    <x v="18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x v="19"/>
    <x v="19"/>
    <x v="0"/>
    <n v="674"/>
    <x v="19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x v="20"/>
    <x v="20"/>
    <x v="1"/>
    <n v="1396"/>
    <x v="20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x v="21"/>
    <x v="21"/>
    <x v="0"/>
    <n v="558"/>
    <x v="21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x v="22"/>
    <x v="22"/>
    <x v="1"/>
    <n v="890"/>
    <x v="22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x v="23"/>
    <x v="23"/>
    <x v="1"/>
    <n v="142"/>
    <x v="23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x v="24"/>
    <x v="24"/>
    <x v="1"/>
    <n v="2673"/>
    <x v="24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x v="25"/>
    <x v="25"/>
    <x v="1"/>
    <n v="163"/>
    <x v="25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x v="26"/>
    <x v="26"/>
    <x v="3"/>
    <n v="1480"/>
    <x v="26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x v="27"/>
    <x v="27"/>
    <x v="0"/>
    <n v="15"/>
    <x v="27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x v="28"/>
    <x v="28"/>
    <x v="1"/>
    <n v="2220"/>
    <x v="28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x v="29"/>
    <x v="29"/>
    <x v="1"/>
    <n v="1606"/>
    <x v="29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x v="30"/>
    <x v="30"/>
    <x v="1"/>
    <n v="129"/>
    <x v="30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x v="31"/>
    <x v="31"/>
    <x v="1"/>
    <n v="226"/>
    <x v="31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x v="32"/>
    <x v="32"/>
    <x v="0"/>
    <n v="2307"/>
    <x v="32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x v="33"/>
    <x v="33"/>
    <x v="1"/>
    <n v="5419"/>
    <x v="33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x v="34"/>
    <x v="34"/>
    <x v="1"/>
    <n v="165"/>
    <x v="34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x v="35"/>
    <x v="35"/>
    <x v="1"/>
    <n v="1965"/>
    <x v="35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x v="36"/>
    <x v="36"/>
    <x v="1"/>
    <n v="16"/>
    <x v="36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x v="37"/>
    <x v="37"/>
    <x v="1"/>
    <n v="107"/>
    <x v="37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x v="38"/>
    <x v="38"/>
    <x v="1"/>
    <n v="134"/>
    <x v="38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x v="39"/>
    <x v="39"/>
    <x v="0"/>
    <n v="88"/>
    <x v="39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x v="40"/>
    <x v="40"/>
    <x v="1"/>
    <n v="198"/>
    <x v="40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x v="41"/>
    <x v="41"/>
    <x v="1"/>
    <n v="111"/>
    <x v="41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x v="42"/>
    <x v="42"/>
    <x v="1"/>
    <n v="222"/>
    <x v="42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x v="43"/>
    <x v="43"/>
    <x v="1"/>
    <n v="6212"/>
    <x v="43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x v="44"/>
    <x v="44"/>
    <x v="1"/>
    <n v="98"/>
    <x v="44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x v="45"/>
    <x v="45"/>
    <x v="0"/>
    <n v="48"/>
    <x v="45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x v="46"/>
    <x v="46"/>
    <x v="1"/>
    <n v="92"/>
    <x v="46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x v="47"/>
    <x v="47"/>
    <x v="1"/>
    <n v="149"/>
    <x v="47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x v="48"/>
    <x v="48"/>
    <x v="1"/>
    <n v="2431"/>
    <x v="48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x v="49"/>
    <x v="49"/>
    <x v="1"/>
    <n v="303"/>
    <x v="49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x v="50"/>
    <x v="50"/>
    <x v="0"/>
    <n v="1"/>
    <x v="50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x v="51"/>
    <x v="51"/>
    <x v="0"/>
    <n v="1467"/>
    <x v="51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x v="52"/>
    <x v="52"/>
    <x v="0"/>
    <n v="75"/>
    <x v="52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x v="53"/>
    <x v="53"/>
    <x v="1"/>
    <n v="209"/>
    <x v="53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x v="54"/>
    <x v="54"/>
    <x v="0"/>
    <n v="120"/>
    <x v="54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x v="55"/>
    <x v="55"/>
    <x v="1"/>
    <n v="131"/>
    <x v="55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x v="56"/>
    <x v="56"/>
    <x v="1"/>
    <n v="164"/>
    <x v="56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x v="57"/>
    <x v="57"/>
    <x v="1"/>
    <n v="201"/>
    <x v="57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x v="58"/>
    <x v="58"/>
    <x v="1"/>
    <n v="211"/>
    <x v="58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x v="59"/>
    <x v="59"/>
    <x v="1"/>
    <n v="128"/>
    <x v="59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x v="60"/>
    <x v="60"/>
    <x v="1"/>
    <n v="1600"/>
    <x v="60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x v="61"/>
    <x v="61"/>
    <x v="0"/>
    <n v="2253"/>
    <x v="61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x v="62"/>
    <x v="62"/>
    <x v="1"/>
    <n v="249"/>
    <x v="62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x v="63"/>
    <x v="63"/>
    <x v="0"/>
    <n v="5"/>
    <x v="63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x v="64"/>
    <x v="64"/>
    <x v="0"/>
    <n v="38"/>
    <x v="64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x v="65"/>
    <x v="65"/>
    <x v="1"/>
    <n v="236"/>
    <x v="65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x v="66"/>
    <x v="66"/>
    <x v="0"/>
    <n v="12"/>
    <x v="66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x v="67"/>
    <x v="67"/>
    <x v="1"/>
    <n v="4065"/>
    <x v="67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x v="68"/>
    <x v="68"/>
    <x v="1"/>
    <n v="246"/>
    <x v="68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x v="69"/>
    <x v="69"/>
    <x v="3"/>
    <n v="17"/>
    <x v="69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x v="70"/>
    <x v="70"/>
    <x v="1"/>
    <n v="2475"/>
    <x v="70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x v="71"/>
    <x v="71"/>
    <x v="1"/>
    <n v="76"/>
    <x v="71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x v="72"/>
    <x v="72"/>
    <x v="1"/>
    <n v="54"/>
    <x v="72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x v="73"/>
    <x v="73"/>
    <x v="1"/>
    <n v="88"/>
    <x v="73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x v="74"/>
    <x v="74"/>
    <x v="1"/>
    <n v="85"/>
    <x v="74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x v="75"/>
    <x v="75"/>
    <x v="1"/>
    <n v="170"/>
    <x v="75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x v="76"/>
    <x v="76"/>
    <x v="0"/>
    <n v="1684"/>
    <x v="76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x v="77"/>
    <x v="77"/>
    <x v="0"/>
    <n v="56"/>
    <x v="77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x v="78"/>
    <x v="78"/>
    <x v="1"/>
    <n v="330"/>
    <x v="78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x v="79"/>
    <x v="79"/>
    <x v="0"/>
    <n v="838"/>
    <x v="79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x v="80"/>
    <x v="80"/>
    <x v="1"/>
    <n v="127"/>
    <x v="80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x v="81"/>
    <x v="81"/>
    <x v="1"/>
    <n v="411"/>
    <x v="81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x v="82"/>
    <x v="82"/>
    <x v="1"/>
    <n v="180"/>
    <x v="82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x v="83"/>
    <x v="83"/>
    <x v="0"/>
    <n v="1000"/>
    <x v="83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x v="84"/>
    <x v="84"/>
    <x v="1"/>
    <n v="374"/>
    <x v="84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x v="85"/>
    <x v="85"/>
    <x v="1"/>
    <n v="71"/>
    <x v="85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x v="86"/>
    <x v="86"/>
    <x v="1"/>
    <n v="203"/>
    <x v="86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x v="87"/>
    <x v="87"/>
    <x v="0"/>
    <n v="1482"/>
    <x v="87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x v="88"/>
    <x v="88"/>
    <x v="1"/>
    <n v="113"/>
    <x v="88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x v="89"/>
    <x v="89"/>
    <x v="1"/>
    <n v="96"/>
    <x v="89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x v="58"/>
    <x v="90"/>
    <x v="0"/>
    <n v="106"/>
    <x v="90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x v="90"/>
    <x v="91"/>
    <x v="0"/>
    <n v="679"/>
    <x v="91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x v="91"/>
    <x v="92"/>
    <x v="1"/>
    <n v="498"/>
    <x v="92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x v="92"/>
    <x v="93"/>
    <x v="3"/>
    <n v="610"/>
    <x v="93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x v="93"/>
    <x v="94"/>
    <x v="1"/>
    <n v="180"/>
    <x v="94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x v="94"/>
    <x v="95"/>
    <x v="1"/>
    <n v="27"/>
    <x v="95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x v="95"/>
    <x v="96"/>
    <x v="1"/>
    <n v="2331"/>
    <x v="96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x v="96"/>
    <x v="97"/>
    <x v="1"/>
    <n v="113"/>
    <x v="97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x v="97"/>
    <x v="98"/>
    <x v="0"/>
    <n v="1220"/>
    <x v="98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x v="98"/>
    <x v="99"/>
    <x v="1"/>
    <n v="164"/>
    <x v="99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x v="99"/>
    <x v="100"/>
    <x v="0"/>
    <n v="1"/>
    <x v="100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x v="100"/>
    <x v="101"/>
    <x v="1"/>
    <n v="164"/>
    <x v="101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x v="101"/>
    <x v="102"/>
    <x v="1"/>
    <n v="336"/>
    <x v="10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x v="102"/>
    <x v="103"/>
    <x v="0"/>
    <n v="37"/>
    <x v="103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x v="103"/>
    <x v="104"/>
    <x v="1"/>
    <n v="1917"/>
    <x v="104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x v="104"/>
    <x v="105"/>
    <x v="1"/>
    <n v="95"/>
    <x v="105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x v="105"/>
    <x v="106"/>
    <x v="1"/>
    <n v="147"/>
    <x v="106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x v="106"/>
    <x v="107"/>
    <x v="1"/>
    <n v="86"/>
    <x v="107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x v="107"/>
    <x v="108"/>
    <x v="1"/>
    <n v="83"/>
    <x v="108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x v="108"/>
    <x v="109"/>
    <x v="0"/>
    <n v="60"/>
    <x v="109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x v="109"/>
    <x v="110"/>
    <x v="0"/>
    <n v="296"/>
    <x v="110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x v="110"/>
    <x v="111"/>
    <x v="1"/>
    <n v="676"/>
    <x v="111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x v="111"/>
    <x v="112"/>
    <x v="1"/>
    <n v="361"/>
    <x v="112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x v="112"/>
    <x v="113"/>
    <x v="1"/>
    <n v="131"/>
    <x v="113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x v="113"/>
    <x v="114"/>
    <x v="1"/>
    <n v="126"/>
    <x v="114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x v="114"/>
    <x v="115"/>
    <x v="0"/>
    <n v="3304"/>
    <x v="115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x v="115"/>
    <x v="116"/>
    <x v="0"/>
    <n v="73"/>
    <x v="116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x v="116"/>
    <x v="117"/>
    <x v="1"/>
    <n v="275"/>
    <x v="117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x v="117"/>
    <x v="118"/>
    <x v="1"/>
    <n v="67"/>
    <x v="118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x v="118"/>
    <x v="119"/>
    <x v="1"/>
    <n v="154"/>
    <x v="119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x v="119"/>
    <x v="120"/>
    <x v="1"/>
    <n v="1782"/>
    <x v="120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x v="120"/>
    <x v="121"/>
    <x v="1"/>
    <n v="903"/>
    <x v="121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x v="121"/>
    <x v="122"/>
    <x v="0"/>
    <n v="3387"/>
    <x v="122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x v="122"/>
    <x v="123"/>
    <x v="0"/>
    <n v="662"/>
    <x v="123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x v="123"/>
    <x v="124"/>
    <x v="1"/>
    <n v="94"/>
    <x v="124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x v="124"/>
    <x v="125"/>
    <x v="1"/>
    <n v="180"/>
    <x v="125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x v="125"/>
    <x v="126"/>
    <x v="0"/>
    <n v="774"/>
    <x v="126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x v="126"/>
    <x v="127"/>
    <x v="0"/>
    <n v="672"/>
    <x v="127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x v="127"/>
    <x v="128"/>
    <x v="3"/>
    <n v="532"/>
    <x v="128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x v="128"/>
    <x v="129"/>
    <x v="3"/>
    <n v="55"/>
    <x v="129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x v="129"/>
    <x v="130"/>
    <x v="1"/>
    <n v="533"/>
    <x v="130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x v="130"/>
    <x v="131"/>
    <x v="1"/>
    <n v="2443"/>
    <x v="131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x v="131"/>
    <x v="132"/>
    <x v="1"/>
    <n v="89"/>
    <x v="132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x v="132"/>
    <x v="133"/>
    <x v="1"/>
    <n v="159"/>
    <x v="133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x v="133"/>
    <x v="134"/>
    <x v="0"/>
    <n v="940"/>
    <x v="134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x v="134"/>
    <x v="135"/>
    <x v="0"/>
    <n v="117"/>
    <x v="135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x v="135"/>
    <x v="136"/>
    <x v="3"/>
    <n v="58"/>
    <x v="136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x v="136"/>
    <x v="137"/>
    <x v="1"/>
    <n v="50"/>
    <x v="137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x v="137"/>
    <x v="138"/>
    <x v="0"/>
    <n v="115"/>
    <x v="138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x v="138"/>
    <x v="139"/>
    <x v="0"/>
    <n v="326"/>
    <x v="139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x v="139"/>
    <x v="140"/>
    <x v="1"/>
    <n v="186"/>
    <x v="140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x v="140"/>
    <x v="141"/>
    <x v="1"/>
    <n v="1071"/>
    <x v="141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x v="141"/>
    <x v="142"/>
    <x v="1"/>
    <n v="117"/>
    <x v="142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x v="142"/>
    <x v="143"/>
    <x v="1"/>
    <n v="70"/>
    <x v="143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x v="143"/>
    <x v="144"/>
    <x v="1"/>
    <n v="135"/>
    <x v="144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x v="144"/>
    <x v="145"/>
    <x v="1"/>
    <n v="768"/>
    <x v="145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x v="145"/>
    <x v="146"/>
    <x v="3"/>
    <n v="51"/>
    <x v="146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x v="146"/>
    <x v="147"/>
    <x v="1"/>
    <n v="199"/>
    <x v="147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x v="147"/>
    <x v="148"/>
    <x v="1"/>
    <n v="107"/>
    <x v="148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x v="148"/>
    <x v="149"/>
    <x v="1"/>
    <n v="195"/>
    <x v="149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x v="99"/>
    <x v="100"/>
    <x v="0"/>
    <n v="1"/>
    <x v="100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x v="149"/>
    <x v="150"/>
    <x v="0"/>
    <n v="1467"/>
    <x v="150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x v="150"/>
    <x v="151"/>
    <x v="1"/>
    <n v="3376"/>
    <x v="151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x v="151"/>
    <x v="152"/>
    <x v="0"/>
    <n v="5681"/>
    <x v="152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x v="152"/>
    <x v="153"/>
    <x v="0"/>
    <n v="1059"/>
    <x v="153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x v="153"/>
    <x v="154"/>
    <x v="0"/>
    <n v="1194"/>
    <x v="154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x v="154"/>
    <x v="155"/>
    <x v="3"/>
    <n v="379"/>
    <x v="155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x v="155"/>
    <x v="156"/>
    <x v="0"/>
    <n v="30"/>
    <x v="156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x v="156"/>
    <x v="157"/>
    <x v="1"/>
    <n v="41"/>
    <x v="15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x v="157"/>
    <x v="158"/>
    <x v="1"/>
    <n v="1821"/>
    <x v="158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x v="158"/>
    <x v="159"/>
    <x v="1"/>
    <n v="164"/>
    <x v="159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x v="159"/>
    <x v="160"/>
    <x v="0"/>
    <n v="75"/>
    <x v="160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x v="160"/>
    <x v="161"/>
    <x v="1"/>
    <n v="157"/>
    <x v="161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x v="161"/>
    <x v="162"/>
    <x v="1"/>
    <n v="246"/>
    <x v="162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x v="162"/>
    <x v="163"/>
    <x v="1"/>
    <n v="1396"/>
    <x v="163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x v="163"/>
    <x v="164"/>
    <x v="1"/>
    <n v="2506"/>
    <x v="164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x v="164"/>
    <x v="165"/>
    <x v="1"/>
    <n v="244"/>
    <x v="165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x v="165"/>
    <x v="166"/>
    <x v="1"/>
    <n v="146"/>
    <x v="166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x v="166"/>
    <x v="167"/>
    <x v="0"/>
    <n v="955"/>
    <x v="167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x v="167"/>
    <x v="168"/>
    <x v="1"/>
    <n v="1267"/>
    <x v="168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x v="168"/>
    <x v="169"/>
    <x v="0"/>
    <n v="67"/>
    <x v="169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x v="169"/>
    <x v="170"/>
    <x v="0"/>
    <n v="5"/>
    <x v="170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x v="170"/>
    <x v="171"/>
    <x v="0"/>
    <n v="26"/>
    <x v="171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x v="171"/>
    <x v="172"/>
    <x v="1"/>
    <n v="1561"/>
    <x v="172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x v="172"/>
    <x v="173"/>
    <x v="1"/>
    <n v="48"/>
    <x v="17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x v="173"/>
    <x v="174"/>
    <x v="0"/>
    <n v="1130"/>
    <x v="174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x v="174"/>
    <x v="175"/>
    <x v="0"/>
    <n v="782"/>
    <x v="175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x v="175"/>
    <x v="176"/>
    <x v="1"/>
    <n v="2739"/>
    <x v="176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x v="176"/>
    <x v="177"/>
    <x v="0"/>
    <n v="210"/>
    <x v="177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x v="177"/>
    <x v="178"/>
    <x v="1"/>
    <n v="3537"/>
    <x v="178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x v="178"/>
    <x v="179"/>
    <x v="1"/>
    <n v="2107"/>
    <x v="179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x v="179"/>
    <x v="180"/>
    <x v="0"/>
    <n v="136"/>
    <x v="180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x v="180"/>
    <x v="181"/>
    <x v="1"/>
    <n v="3318"/>
    <x v="181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x v="181"/>
    <x v="182"/>
    <x v="0"/>
    <n v="86"/>
    <x v="182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x v="182"/>
    <x v="183"/>
    <x v="1"/>
    <n v="340"/>
    <x v="183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x v="183"/>
    <x v="184"/>
    <x v="0"/>
    <n v="19"/>
    <x v="184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x v="184"/>
    <x v="185"/>
    <x v="0"/>
    <n v="886"/>
    <x v="185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x v="185"/>
    <x v="186"/>
    <x v="1"/>
    <n v="1442"/>
    <x v="186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x v="186"/>
    <x v="187"/>
    <x v="0"/>
    <n v="35"/>
    <x v="187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x v="187"/>
    <x v="188"/>
    <x v="3"/>
    <n v="441"/>
    <x v="188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x v="188"/>
    <x v="189"/>
    <x v="0"/>
    <n v="24"/>
    <x v="189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x v="189"/>
    <x v="190"/>
    <x v="0"/>
    <n v="86"/>
    <x v="190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x v="190"/>
    <x v="191"/>
    <x v="0"/>
    <n v="243"/>
    <x v="191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x v="191"/>
    <x v="192"/>
    <x v="0"/>
    <n v="65"/>
    <x v="192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x v="192"/>
    <x v="193"/>
    <x v="1"/>
    <n v="126"/>
    <x v="193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x v="193"/>
    <x v="194"/>
    <x v="1"/>
    <n v="524"/>
    <x v="194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x v="194"/>
    <x v="195"/>
    <x v="0"/>
    <n v="100"/>
    <x v="195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x v="195"/>
    <x v="196"/>
    <x v="1"/>
    <n v="1989"/>
    <x v="196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x v="196"/>
    <x v="197"/>
    <x v="0"/>
    <n v="168"/>
    <x v="197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x v="197"/>
    <x v="198"/>
    <x v="0"/>
    <n v="13"/>
    <x v="198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x v="50"/>
    <x v="50"/>
    <x v="0"/>
    <n v="1"/>
    <x v="50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x v="198"/>
    <x v="199"/>
    <x v="1"/>
    <n v="157"/>
    <x v="199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x v="199"/>
    <x v="200"/>
    <x v="3"/>
    <n v="82"/>
    <x v="200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x v="200"/>
    <x v="201"/>
    <x v="1"/>
    <n v="4498"/>
    <x v="201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x v="201"/>
    <x v="202"/>
    <x v="0"/>
    <n v="40"/>
    <x v="202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x v="202"/>
    <x v="203"/>
    <x v="1"/>
    <n v="80"/>
    <x v="203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x v="203"/>
    <x v="204"/>
    <x v="3"/>
    <n v="57"/>
    <x v="204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x v="204"/>
    <x v="205"/>
    <x v="1"/>
    <n v="43"/>
    <x v="205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x v="205"/>
    <x v="206"/>
    <x v="1"/>
    <n v="2053"/>
    <x v="206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x v="206"/>
    <x v="207"/>
    <x v="2"/>
    <n v="808"/>
    <x v="207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x v="207"/>
    <x v="208"/>
    <x v="0"/>
    <n v="226"/>
    <x v="208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x v="208"/>
    <x v="209"/>
    <x v="0"/>
    <n v="1625"/>
    <x v="209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x v="209"/>
    <x v="210"/>
    <x v="1"/>
    <n v="168"/>
    <x v="210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x v="210"/>
    <x v="211"/>
    <x v="1"/>
    <n v="4289"/>
    <x v="211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x v="211"/>
    <x v="212"/>
    <x v="1"/>
    <n v="165"/>
    <x v="212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x v="212"/>
    <x v="213"/>
    <x v="0"/>
    <n v="143"/>
    <x v="213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x v="213"/>
    <x v="214"/>
    <x v="1"/>
    <n v="1815"/>
    <x v="214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x v="214"/>
    <x v="215"/>
    <x v="0"/>
    <n v="934"/>
    <x v="215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x v="215"/>
    <x v="216"/>
    <x v="1"/>
    <n v="397"/>
    <x v="216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x v="216"/>
    <x v="217"/>
    <x v="1"/>
    <n v="1539"/>
    <x v="217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x v="217"/>
    <x v="218"/>
    <x v="0"/>
    <n v="17"/>
    <x v="218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x v="218"/>
    <x v="219"/>
    <x v="0"/>
    <n v="2179"/>
    <x v="219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x v="219"/>
    <x v="220"/>
    <x v="1"/>
    <n v="138"/>
    <x v="220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x v="220"/>
    <x v="221"/>
    <x v="0"/>
    <n v="931"/>
    <x v="221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x v="221"/>
    <x v="222"/>
    <x v="1"/>
    <n v="3594"/>
    <x v="222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x v="222"/>
    <x v="223"/>
    <x v="1"/>
    <n v="5880"/>
    <x v="223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x v="223"/>
    <x v="224"/>
    <x v="1"/>
    <n v="112"/>
    <x v="224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x v="224"/>
    <x v="225"/>
    <x v="1"/>
    <n v="943"/>
    <x v="225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x v="225"/>
    <x v="226"/>
    <x v="1"/>
    <n v="2468"/>
    <x v="226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x v="226"/>
    <x v="227"/>
    <x v="1"/>
    <n v="2551"/>
    <x v="227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x v="227"/>
    <x v="228"/>
    <x v="1"/>
    <n v="101"/>
    <x v="228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x v="228"/>
    <x v="229"/>
    <x v="3"/>
    <n v="67"/>
    <x v="229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x v="229"/>
    <x v="230"/>
    <x v="1"/>
    <n v="92"/>
    <x v="230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x v="230"/>
    <x v="231"/>
    <x v="1"/>
    <n v="62"/>
    <x v="231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x v="231"/>
    <x v="232"/>
    <x v="1"/>
    <n v="149"/>
    <x v="232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x v="232"/>
    <x v="233"/>
    <x v="0"/>
    <n v="92"/>
    <x v="233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x v="233"/>
    <x v="234"/>
    <x v="0"/>
    <n v="57"/>
    <x v="234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x v="234"/>
    <x v="235"/>
    <x v="1"/>
    <n v="329"/>
    <x v="235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x v="235"/>
    <x v="236"/>
    <x v="1"/>
    <n v="97"/>
    <x v="236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x v="236"/>
    <x v="237"/>
    <x v="0"/>
    <n v="41"/>
    <x v="23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x v="237"/>
    <x v="238"/>
    <x v="1"/>
    <n v="1784"/>
    <x v="238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x v="238"/>
    <x v="239"/>
    <x v="1"/>
    <n v="1684"/>
    <x v="239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x v="239"/>
    <x v="240"/>
    <x v="1"/>
    <n v="250"/>
    <x v="240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x v="240"/>
    <x v="241"/>
    <x v="1"/>
    <n v="238"/>
    <x v="241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x v="241"/>
    <x v="242"/>
    <x v="1"/>
    <n v="53"/>
    <x v="242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x v="242"/>
    <x v="243"/>
    <x v="1"/>
    <n v="214"/>
    <x v="243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x v="243"/>
    <x v="244"/>
    <x v="1"/>
    <n v="222"/>
    <x v="244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x v="244"/>
    <x v="245"/>
    <x v="1"/>
    <n v="1884"/>
    <x v="245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x v="245"/>
    <x v="246"/>
    <x v="1"/>
    <n v="218"/>
    <x v="246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x v="246"/>
    <x v="247"/>
    <x v="1"/>
    <n v="6465"/>
    <x v="247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x v="247"/>
    <x v="248"/>
    <x v="0"/>
    <n v="1"/>
    <x v="248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x v="248"/>
    <x v="249"/>
    <x v="0"/>
    <n v="101"/>
    <x v="249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x v="249"/>
    <x v="250"/>
    <x v="1"/>
    <n v="59"/>
    <x v="250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x v="250"/>
    <x v="251"/>
    <x v="0"/>
    <n v="1335"/>
    <x v="251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x v="251"/>
    <x v="252"/>
    <x v="1"/>
    <n v="88"/>
    <x v="252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x v="252"/>
    <x v="253"/>
    <x v="1"/>
    <n v="1697"/>
    <x v="253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x v="253"/>
    <x v="254"/>
    <x v="0"/>
    <n v="15"/>
    <x v="254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x v="254"/>
    <x v="255"/>
    <x v="1"/>
    <n v="92"/>
    <x v="255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x v="255"/>
    <x v="256"/>
    <x v="1"/>
    <n v="186"/>
    <x v="256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x v="256"/>
    <x v="257"/>
    <x v="1"/>
    <n v="138"/>
    <x v="257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x v="257"/>
    <x v="258"/>
    <x v="1"/>
    <n v="261"/>
    <x v="258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x v="258"/>
    <x v="259"/>
    <x v="0"/>
    <n v="454"/>
    <x v="259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x v="259"/>
    <x v="260"/>
    <x v="1"/>
    <n v="107"/>
    <x v="260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x v="260"/>
    <x v="261"/>
    <x v="1"/>
    <n v="199"/>
    <x v="261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x v="261"/>
    <x v="262"/>
    <x v="1"/>
    <n v="5512"/>
    <x v="262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x v="262"/>
    <x v="263"/>
    <x v="1"/>
    <n v="86"/>
    <x v="263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x v="263"/>
    <x v="264"/>
    <x v="0"/>
    <n v="3182"/>
    <x v="264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x v="264"/>
    <x v="265"/>
    <x v="1"/>
    <n v="2768"/>
    <x v="265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x v="265"/>
    <x v="266"/>
    <x v="1"/>
    <n v="48"/>
    <x v="266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x v="266"/>
    <x v="267"/>
    <x v="1"/>
    <n v="87"/>
    <x v="267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x v="267"/>
    <x v="268"/>
    <x v="3"/>
    <n v="1890"/>
    <x v="268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x v="268"/>
    <x v="269"/>
    <x v="2"/>
    <n v="61"/>
    <x v="269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x v="269"/>
    <x v="270"/>
    <x v="1"/>
    <n v="1894"/>
    <x v="270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x v="270"/>
    <x v="271"/>
    <x v="1"/>
    <n v="282"/>
    <x v="271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x v="271"/>
    <x v="272"/>
    <x v="0"/>
    <n v="15"/>
    <x v="272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x v="272"/>
    <x v="273"/>
    <x v="1"/>
    <n v="116"/>
    <x v="273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x v="273"/>
    <x v="274"/>
    <x v="0"/>
    <n v="133"/>
    <x v="274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x v="274"/>
    <x v="275"/>
    <x v="1"/>
    <n v="83"/>
    <x v="275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x v="275"/>
    <x v="276"/>
    <x v="1"/>
    <n v="91"/>
    <x v="276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x v="276"/>
    <x v="277"/>
    <x v="1"/>
    <n v="546"/>
    <x v="277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x v="277"/>
    <x v="278"/>
    <x v="1"/>
    <n v="393"/>
    <x v="278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x v="278"/>
    <x v="279"/>
    <x v="0"/>
    <n v="2062"/>
    <x v="279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x v="279"/>
    <x v="280"/>
    <x v="1"/>
    <n v="133"/>
    <x v="280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x v="280"/>
    <x v="281"/>
    <x v="0"/>
    <n v="29"/>
    <x v="281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x v="281"/>
    <x v="282"/>
    <x v="0"/>
    <n v="132"/>
    <x v="282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x v="282"/>
    <x v="283"/>
    <x v="1"/>
    <n v="254"/>
    <x v="283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x v="283"/>
    <x v="284"/>
    <x v="3"/>
    <n v="184"/>
    <x v="284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x v="284"/>
    <x v="285"/>
    <x v="1"/>
    <n v="176"/>
    <x v="285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x v="285"/>
    <x v="286"/>
    <x v="0"/>
    <n v="137"/>
    <x v="286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x v="286"/>
    <x v="287"/>
    <x v="1"/>
    <n v="337"/>
    <x v="287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x v="287"/>
    <x v="288"/>
    <x v="0"/>
    <n v="908"/>
    <x v="288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x v="288"/>
    <x v="289"/>
    <x v="1"/>
    <n v="107"/>
    <x v="289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x v="289"/>
    <x v="290"/>
    <x v="0"/>
    <n v="10"/>
    <x v="290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x v="290"/>
    <x v="291"/>
    <x v="3"/>
    <n v="32"/>
    <x v="291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x v="291"/>
    <x v="292"/>
    <x v="1"/>
    <n v="183"/>
    <x v="292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x v="292"/>
    <x v="293"/>
    <x v="0"/>
    <n v="1910"/>
    <x v="293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x v="293"/>
    <x v="294"/>
    <x v="0"/>
    <n v="38"/>
    <x v="294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x v="294"/>
    <x v="295"/>
    <x v="0"/>
    <n v="104"/>
    <x v="295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x v="295"/>
    <x v="296"/>
    <x v="1"/>
    <n v="72"/>
    <x v="296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x v="296"/>
    <x v="297"/>
    <x v="0"/>
    <n v="49"/>
    <x v="297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x v="297"/>
    <x v="298"/>
    <x v="0"/>
    <n v="1"/>
    <x v="298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x v="298"/>
    <x v="299"/>
    <x v="1"/>
    <n v="295"/>
    <x v="299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x v="299"/>
    <x v="300"/>
    <x v="0"/>
    <n v="245"/>
    <x v="300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x v="300"/>
    <x v="301"/>
    <x v="0"/>
    <n v="32"/>
    <x v="301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x v="301"/>
    <x v="302"/>
    <x v="1"/>
    <n v="142"/>
    <x v="302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x v="302"/>
    <x v="303"/>
    <x v="1"/>
    <n v="85"/>
    <x v="303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x v="303"/>
    <x v="304"/>
    <x v="0"/>
    <n v="7"/>
    <x v="304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x v="304"/>
    <x v="305"/>
    <x v="1"/>
    <n v="659"/>
    <x v="305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x v="305"/>
    <x v="306"/>
    <x v="0"/>
    <n v="803"/>
    <x v="306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x v="306"/>
    <x v="307"/>
    <x v="3"/>
    <n v="75"/>
    <x v="307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x v="307"/>
    <x v="308"/>
    <x v="0"/>
    <n v="16"/>
    <x v="308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x v="308"/>
    <x v="309"/>
    <x v="1"/>
    <n v="121"/>
    <x v="309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x v="309"/>
    <x v="310"/>
    <x v="1"/>
    <n v="3742"/>
    <x v="310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x v="310"/>
    <x v="311"/>
    <x v="1"/>
    <n v="223"/>
    <x v="311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x v="311"/>
    <x v="312"/>
    <x v="1"/>
    <n v="133"/>
    <x v="31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x v="312"/>
    <x v="313"/>
    <x v="0"/>
    <n v="31"/>
    <x v="313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x v="313"/>
    <x v="314"/>
    <x v="0"/>
    <n v="108"/>
    <x v="314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x v="314"/>
    <x v="315"/>
    <x v="0"/>
    <n v="30"/>
    <x v="315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x v="315"/>
    <x v="316"/>
    <x v="0"/>
    <n v="17"/>
    <x v="316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x v="316"/>
    <x v="317"/>
    <x v="3"/>
    <n v="64"/>
    <x v="317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x v="317"/>
    <x v="318"/>
    <x v="0"/>
    <n v="80"/>
    <x v="318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x v="318"/>
    <x v="319"/>
    <x v="0"/>
    <n v="2468"/>
    <x v="319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x v="319"/>
    <x v="320"/>
    <x v="1"/>
    <n v="5168"/>
    <x v="320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x v="320"/>
    <x v="321"/>
    <x v="0"/>
    <n v="26"/>
    <x v="321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x v="321"/>
    <x v="322"/>
    <x v="1"/>
    <n v="307"/>
    <x v="322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x v="322"/>
    <x v="323"/>
    <x v="0"/>
    <n v="73"/>
    <x v="323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x v="323"/>
    <x v="324"/>
    <x v="0"/>
    <n v="128"/>
    <x v="324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x v="324"/>
    <x v="325"/>
    <x v="0"/>
    <n v="33"/>
    <x v="325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x v="325"/>
    <x v="326"/>
    <x v="1"/>
    <n v="2441"/>
    <x v="326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x v="326"/>
    <x v="327"/>
    <x v="2"/>
    <n v="211"/>
    <x v="327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x v="327"/>
    <x v="328"/>
    <x v="1"/>
    <n v="1385"/>
    <x v="328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x v="328"/>
    <x v="329"/>
    <x v="1"/>
    <n v="190"/>
    <x v="329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x v="329"/>
    <x v="330"/>
    <x v="1"/>
    <n v="470"/>
    <x v="330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x v="330"/>
    <x v="331"/>
    <x v="1"/>
    <n v="253"/>
    <x v="331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x v="331"/>
    <x v="332"/>
    <x v="1"/>
    <n v="1113"/>
    <x v="332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x v="332"/>
    <x v="333"/>
    <x v="1"/>
    <n v="2283"/>
    <x v="333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x v="333"/>
    <x v="334"/>
    <x v="0"/>
    <n v="1072"/>
    <x v="334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x v="334"/>
    <x v="335"/>
    <x v="1"/>
    <n v="1095"/>
    <x v="335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x v="335"/>
    <x v="336"/>
    <x v="1"/>
    <n v="1690"/>
    <x v="336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x v="336"/>
    <x v="337"/>
    <x v="3"/>
    <n v="1297"/>
    <x v="337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x v="337"/>
    <x v="338"/>
    <x v="0"/>
    <n v="393"/>
    <x v="338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x v="338"/>
    <x v="339"/>
    <x v="0"/>
    <n v="1257"/>
    <x v="339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x v="339"/>
    <x v="340"/>
    <x v="0"/>
    <n v="328"/>
    <x v="340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x v="340"/>
    <x v="341"/>
    <x v="0"/>
    <n v="147"/>
    <x v="341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x v="341"/>
    <x v="342"/>
    <x v="0"/>
    <n v="830"/>
    <x v="342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x v="342"/>
    <x v="343"/>
    <x v="0"/>
    <n v="331"/>
    <x v="343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x v="343"/>
    <x v="344"/>
    <x v="0"/>
    <n v="25"/>
    <x v="344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x v="344"/>
    <x v="345"/>
    <x v="1"/>
    <n v="191"/>
    <x v="34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x v="345"/>
    <x v="346"/>
    <x v="0"/>
    <n v="3483"/>
    <x v="346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x v="346"/>
    <x v="347"/>
    <x v="0"/>
    <n v="923"/>
    <x v="347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x v="297"/>
    <x v="298"/>
    <x v="0"/>
    <n v="1"/>
    <x v="298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x v="347"/>
    <x v="348"/>
    <x v="1"/>
    <n v="2013"/>
    <x v="348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x v="348"/>
    <x v="349"/>
    <x v="0"/>
    <n v="33"/>
    <x v="349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x v="349"/>
    <x v="350"/>
    <x v="1"/>
    <n v="1703"/>
    <x v="350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x v="350"/>
    <x v="351"/>
    <x v="1"/>
    <n v="80"/>
    <x v="351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x v="351"/>
    <x v="352"/>
    <x v="2"/>
    <n v="86"/>
    <x v="352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x v="352"/>
    <x v="353"/>
    <x v="0"/>
    <n v="40"/>
    <x v="353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x v="353"/>
    <x v="354"/>
    <x v="1"/>
    <n v="41"/>
    <x v="354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x v="354"/>
    <x v="355"/>
    <x v="0"/>
    <n v="23"/>
    <x v="355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x v="355"/>
    <x v="356"/>
    <x v="1"/>
    <n v="187"/>
    <x v="356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x v="356"/>
    <x v="357"/>
    <x v="1"/>
    <n v="2875"/>
    <x v="357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x v="357"/>
    <x v="358"/>
    <x v="1"/>
    <n v="88"/>
    <x v="358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x v="358"/>
    <x v="359"/>
    <x v="1"/>
    <n v="191"/>
    <x v="359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x v="359"/>
    <x v="360"/>
    <x v="1"/>
    <n v="139"/>
    <x v="360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x v="360"/>
    <x v="361"/>
    <x v="1"/>
    <n v="186"/>
    <x v="361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x v="361"/>
    <x v="362"/>
    <x v="1"/>
    <n v="112"/>
    <x v="362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x v="362"/>
    <x v="363"/>
    <x v="1"/>
    <n v="101"/>
    <x v="363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x v="363"/>
    <x v="364"/>
    <x v="0"/>
    <n v="75"/>
    <x v="364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x v="364"/>
    <x v="365"/>
    <x v="1"/>
    <n v="206"/>
    <x v="365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x v="365"/>
    <x v="366"/>
    <x v="1"/>
    <n v="154"/>
    <x v="366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x v="366"/>
    <x v="367"/>
    <x v="1"/>
    <n v="5966"/>
    <x v="367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x v="367"/>
    <x v="368"/>
    <x v="0"/>
    <n v="2176"/>
    <x v="368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x v="211"/>
    <x v="369"/>
    <x v="1"/>
    <n v="169"/>
    <x v="369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x v="368"/>
    <x v="370"/>
    <x v="1"/>
    <n v="2106"/>
    <x v="370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x v="369"/>
    <x v="371"/>
    <x v="0"/>
    <n v="441"/>
    <x v="371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x v="370"/>
    <x v="372"/>
    <x v="0"/>
    <n v="25"/>
    <x v="372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x v="371"/>
    <x v="373"/>
    <x v="1"/>
    <n v="131"/>
    <x v="373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x v="372"/>
    <x v="374"/>
    <x v="0"/>
    <n v="127"/>
    <x v="374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x v="373"/>
    <x v="375"/>
    <x v="0"/>
    <n v="355"/>
    <x v="375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x v="374"/>
    <x v="376"/>
    <x v="0"/>
    <n v="44"/>
    <x v="376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x v="375"/>
    <x v="377"/>
    <x v="1"/>
    <n v="84"/>
    <x v="377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x v="376"/>
    <x v="378"/>
    <x v="1"/>
    <n v="155"/>
    <x v="378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x v="377"/>
    <x v="379"/>
    <x v="0"/>
    <n v="67"/>
    <x v="379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x v="378"/>
    <x v="380"/>
    <x v="1"/>
    <n v="189"/>
    <x v="380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x v="379"/>
    <x v="381"/>
    <x v="1"/>
    <n v="4799"/>
    <x v="381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x v="380"/>
    <x v="382"/>
    <x v="1"/>
    <n v="1137"/>
    <x v="382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x v="381"/>
    <x v="383"/>
    <x v="0"/>
    <n v="1068"/>
    <x v="383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x v="382"/>
    <x v="384"/>
    <x v="0"/>
    <n v="424"/>
    <x v="384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x v="383"/>
    <x v="385"/>
    <x v="3"/>
    <n v="145"/>
    <x v="385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x v="384"/>
    <x v="386"/>
    <x v="1"/>
    <n v="1152"/>
    <x v="386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x v="385"/>
    <x v="387"/>
    <x v="1"/>
    <n v="50"/>
    <x v="387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x v="386"/>
    <x v="388"/>
    <x v="0"/>
    <n v="151"/>
    <x v="388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x v="387"/>
    <x v="389"/>
    <x v="0"/>
    <n v="1608"/>
    <x v="389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x v="388"/>
    <x v="390"/>
    <x v="1"/>
    <n v="3059"/>
    <x v="390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x v="389"/>
    <x v="391"/>
    <x v="1"/>
    <n v="34"/>
    <x v="391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x v="390"/>
    <x v="392"/>
    <x v="1"/>
    <n v="220"/>
    <x v="392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x v="391"/>
    <x v="393"/>
    <x v="1"/>
    <n v="1604"/>
    <x v="393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x v="392"/>
    <x v="394"/>
    <x v="1"/>
    <n v="454"/>
    <x v="394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x v="393"/>
    <x v="395"/>
    <x v="1"/>
    <n v="123"/>
    <x v="395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x v="394"/>
    <x v="396"/>
    <x v="0"/>
    <n v="941"/>
    <x v="396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x v="50"/>
    <x v="50"/>
    <x v="0"/>
    <n v="1"/>
    <x v="50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x v="395"/>
    <x v="397"/>
    <x v="1"/>
    <n v="299"/>
    <x v="397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x v="396"/>
    <x v="398"/>
    <x v="0"/>
    <n v="40"/>
    <x v="398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x v="397"/>
    <x v="399"/>
    <x v="0"/>
    <n v="3015"/>
    <x v="39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x v="398"/>
    <x v="400"/>
    <x v="1"/>
    <n v="2237"/>
    <x v="400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x v="399"/>
    <x v="401"/>
    <x v="0"/>
    <n v="435"/>
    <x v="401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x v="400"/>
    <x v="402"/>
    <x v="1"/>
    <n v="645"/>
    <x v="402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x v="401"/>
    <x v="403"/>
    <x v="1"/>
    <n v="484"/>
    <x v="403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x v="402"/>
    <x v="404"/>
    <x v="1"/>
    <n v="154"/>
    <x v="404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x v="403"/>
    <x v="405"/>
    <x v="0"/>
    <n v="714"/>
    <x v="405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x v="404"/>
    <x v="406"/>
    <x v="2"/>
    <n v="1111"/>
    <x v="406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x v="405"/>
    <x v="407"/>
    <x v="1"/>
    <n v="82"/>
    <x v="407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x v="406"/>
    <x v="408"/>
    <x v="1"/>
    <n v="134"/>
    <x v="408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x v="407"/>
    <x v="409"/>
    <x v="2"/>
    <n v="1089"/>
    <x v="409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x v="408"/>
    <x v="410"/>
    <x v="0"/>
    <n v="5497"/>
    <x v="410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x v="409"/>
    <x v="411"/>
    <x v="0"/>
    <n v="418"/>
    <x v="411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x v="410"/>
    <x v="412"/>
    <x v="0"/>
    <n v="1439"/>
    <x v="412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x v="411"/>
    <x v="413"/>
    <x v="0"/>
    <n v="15"/>
    <x v="413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x v="412"/>
    <x v="414"/>
    <x v="0"/>
    <n v="1999"/>
    <x v="414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x v="413"/>
    <x v="415"/>
    <x v="1"/>
    <n v="5203"/>
    <x v="415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x v="414"/>
    <x v="416"/>
    <x v="1"/>
    <n v="94"/>
    <x v="416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x v="415"/>
    <x v="417"/>
    <x v="0"/>
    <n v="118"/>
    <x v="417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x v="416"/>
    <x v="418"/>
    <x v="1"/>
    <n v="205"/>
    <x v="418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x v="417"/>
    <x v="419"/>
    <x v="0"/>
    <n v="162"/>
    <x v="419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x v="418"/>
    <x v="420"/>
    <x v="0"/>
    <n v="83"/>
    <x v="420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x v="419"/>
    <x v="421"/>
    <x v="1"/>
    <n v="92"/>
    <x v="421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x v="420"/>
    <x v="422"/>
    <x v="1"/>
    <n v="219"/>
    <x v="422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x v="421"/>
    <x v="423"/>
    <x v="1"/>
    <n v="2526"/>
    <x v="423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x v="422"/>
    <x v="424"/>
    <x v="0"/>
    <n v="747"/>
    <x v="424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x v="423"/>
    <x v="425"/>
    <x v="3"/>
    <n v="2138"/>
    <x v="425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x v="424"/>
    <x v="426"/>
    <x v="0"/>
    <n v="84"/>
    <x v="426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x v="425"/>
    <x v="427"/>
    <x v="1"/>
    <n v="94"/>
    <x v="427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x v="426"/>
    <x v="428"/>
    <x v="0"/>
    <n v="91"/>
    <x v="428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x v="427"/>
    <x v="429"/>
    <x v="0"/>
    <n v="792"/>
    <x v="429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x v="315"/>
    <x v="430"/>
    <x v="3"/>
    <n v="10"/>
    <x v="430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x v="428"/>
    <x v="431"/>
    <x v="1"/>
    <n v="1713"/>
    <x v="431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x v="429"/>
    <x v="432"/>
    <x v="1"/>
    <n v="249"/>
    <x v="432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x v="430"/>
    <x v="433"/>
    <x v="1"/>
    <n v="192"/>
    <x v="433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x v="431"/>
    <x v="434"/>
    <x v="1"/>
    <n v="247"/>
    <x v="434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x v="432"/>
    <x v="435"/>
    <x v="1"/>
    <n v="2293"/>
    <x v="435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x v="433"/>
    <x v="436"/>
    <x v="1"/>
    <n v="3131"/>
    <x v="436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x v="434"/>
    <x v="437"/>
    <x v="0"/>
    <n v="32"/>
    <x v="437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x v="435"/>
    <x v="438"/>
    <x v="1"/>
    <n v="143"/>
    <x v="438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x v="436"/>
    <x v="439"/>
    <x v="3"/>
    <n v="90"/>
    <x v="439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x v="437"/>
    <x v="440"/>
    <x v="1"/>
    <n v="296"/>
    <x v="440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x v="438"/>
    <x v="441"/>
    <x v="1"/>
    <n v="170"/>
    <x v="441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x v="439"/>
    <x v="442"/>
    <x v="0"/>
    <n v="186"/>
    <x v="442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x v="440"/>
    <x v="443"/>
    <x v="3"/>
    <n v="439"/>
    <x v="443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x v="441"/>
    <x v="444"/>
    <x v="0"/>
    <n v="605"/>
    <x v="444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x v="442"/>
    <x v="445"/>
    <x v="1"/>
    <n v="86"/>
    <x v="445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x v="443"/>
    <x v="446"/>
    <x v="0"/>
    <n v="1"/>
    <x v="446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x v="444"/>
    <x v="447"/>
    <x v="1"/>
    <n v="6286"/>
    <x v="447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x v="445"/>
    <x v="448"/>
    <x v="0"/>
    <n v="31"/>
    <x v="448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x v="446"/>
    <x v="449"/>
    <x v="0"/>
    <n v="1181"/>
    <x v="449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x v="447"/>
    <x v="450"/>
    <x v="0"/>
    <n v="39"/>
    <x v="450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x v="448"/>
    <x v="451"/>
    <x v="1"/>
    <n v="3727"/>
    <x v="451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x v="449"/>
    <x v="452"/>
    <x v="1"/>
    <n v="1605"/>
    <x v="452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x v="450"/>
    <x v="453"/>
    <x v="0"/>
    <n v="46"/>
    <x v="453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x v="451"/>
    <x v="454"/>
    <x v="1"/>
    <n v="2120"/>
    <x v="454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x v="452"/>
    <x v="455"/>
    <x v="0"/>
    <n v="105"/>
    <x v="455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x v="453"/>
    <x v="456"/>
    <x v="1"/>
    <n v="50"/>
    <x v="456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x v="454"/>
    <x v="457"/>
    <x v="1"/>
    <n v="2080"/>
    <x v="457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x v="455"/>
    <x v="458"/>
    <x v="0"/>
    <n v="535"/>
    <x v="458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x v="456"/>
    <x v="459"/>
    <x v="1"/>
    <n v="2105"/>
    <x v="459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x v="457"/>
    <x v="460"/>
    <x v="1"/>
    <n v="2436"/>
    <x v="460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x v="458"/>
    <x v="461"/>
    <x v="1"/>
    <n v="80"/>
    <x v="461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x v="459"/>
    <x v="462"/>
    <x v="1"/>
    <n v="42"/>
    <x v="462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x v="460"/>
    <x v="463"/>
    <x v="1"/>
    <n v="139"/>
    <x v="463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x v="461"/>
    <x v="464"/>
    <x v="0"/>
    <n v="16"/>
    <x v="464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x v="462"/>
    <x v="465"/>
    <x v="1"/>
    <n v="159"/>
    <x v="465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x v="463"/>
    <x v="466"/>
    <x v="1"/>
    <n v="381"/>
    <x v="466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x v="464"/>
    <x v="467"/>
    <x v="1"/>
    <n v="194"/>
    <x v="467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x v="465"/>
    <x v="468"/>
    <x v="0"/>
    <n v="575"/>
    <x v="468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x v="466"/>
    <x v="469"/>
    <x v="1"/>
    <n v="106"/>
    <x v="469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x v="75"/>
    <x v="470"/>
    <x v="1"/>
    <n v="142"/>
    <x v="470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x v="467"/>
    <x v="471"/>
    <x v="1"/>
    <n v="211"/>
    <x v="471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x v="468"/>
    <x v="472"/>
    <x v="0"/>
    <n v="1120"/>
    <x v="472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x v="469"/>
    <x v="473"/>
    <x v="0"/>
    <n v="113"/>
    <x v="473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x v="470"/>
    <x v="474"/>
    <x v="1"/>
    <n v="2756"/>
    <x v="474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x v="471"/>
    <x v="475"/>
    <x v="1"/>
    <n v="173"/>
    <x v="475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x v="472"/>
    <x v="476"/>
    <x v="1"/>
    <n v="87"/>
    <x v="476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x v="473"/>
    <x v="477"/>
    <x v="0"/>
    <n v="1538"/>
    <x v="477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x v="474"/>
    <x v="478"/>
    <x v="0"/>
    <n v="9"/>
    <x v="478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x v="475"/>
    <x v="479"/>
    <x v="0"/>
    <n v="554"/>
    <x v="479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x v="476"/>
    <x v="480"/>
    <x v="1"/>
    <n v="1572"/>
    <x v="480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x v="477"/>
    <x v="481"/>
    <x v="0"/>
    <n v="648"/>
    <x v="481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x v="478"/>
    <x v="482"/>
    <x v="0"/>
    <n v="21"/>
    <x v="482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x v="479"/>
    <x v="483"/>
    <x v="1"/>
    <n v="2346"/>
    <x v="483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x v="480"/>
    <x v="484"/>
    <x v="1"/>
    <n v="115"/>
    <x v="484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x v="481"/>
    <x v="485"/>
    <x v="1"/>
    <n v="85"/>
    <x v="485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x v="482"/>
    <x v="486"/>
    <x v="1"/>
    <n v="144"/>
    <x v="486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x v="483"/>
    <x v="487"/>
    <x v="1"/>
    <n v="2443"/>
    <x v="487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x v="484"/>
    <x v="488"/>
    <x v="3"/>
    <n v="595"/>
    <x v="488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x v="485"/>
    <x v="489"/>
    <x v="1"/>
    <n v="64"/>
    <x v="489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x v="486"/>
    <x v="490"/>
    <x v="1"/>
    <n v="268"/>
    <x v="490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x v="487"/>
    <x v="491"/>
    <x v="1"/>
    <n v="195"/>
    <x v="491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x v="488"/>
    <x v="492"/>
    <x v="0"/>
    <n v="54"/>
    <x v="492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x v="489"/>
    <x v="493"/>
    <x v="0"/>
    <n v="120"/>
    <x v="493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x v="490"/>
    <x v="494"/>
    <x v="0"/>
    <n v="579"/>
    <x v="494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x v="491"/>
    <x v="495"/>
    <x v="0"/>
    <n v="2072"/>
    <x v="495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x v="0"/>
    <x v="0"/>
    <x v="0"/>
    <n v="0"/>
    <x v="496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x v="492"/>
    <x v="496"/>
    <x v="0"/>
    <n v="1796"/>
    <x v="497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x v="493"/>
    <x v="497"/>
    <x v="1"/>
    <n v="186"/>
    <x v="498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x v="494"/>
    <x v="498"/>
    <x v="1"/>
    <n v="460"/>
    <x v="499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x v="495"/>
    <x v="499"/>
    <x v="0"/>
    <n v="62"/>
    <x v="500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x v="496"/>
    <x v="500"/>
    <x v="0"/>
    <n v="347"/>
    <x v="501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x v="497"/>
    <x v="501"/>
    <x v="1"/>
    <n v="2528"/>
    <x v="502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x v="498"/>
    <x v="502"/>
    <x v="0"/>
    <n v="19"/>
    <x v="503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x v="499"/>
    <x v="503"/>
    <x v="1"/>
    <n v="3657"/>
    <x v="504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x v="500"/>
    <x v="504"/>
    <x v="0"/>
    <n v="1258"/>
    <x v="50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x v="501"/>
    <x v="505"/>
    <x v="1"/>
    <n v="131"/>
    <x v="506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x v="502"/>
    <x v="506"/>
    <x v="0"/>
    <n v="362"/>
    <x v="507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x v="503"/>
    <x v="507"/>
    <x v="1"/>
    <n v="239"/>
    <x v="508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x v="504"/>
    <x v="508"/>
    <x v="3"/>
    <n v="35"/>
    <x v="509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x v="505"/>
    <x v="509"/>
    <x v="3"/>
    <n v="528"/>
    <x v="510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x v="506"/>
    <x v="510"/>
    <x v="0"/>
    <n v="133"/>
    <x v="511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x v="507"/>
    <x v="511"/>
    <x v="0"/>
    <n v="846"/>
    <x v="512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x v="508"/>
    <x v="512"/>
    <x v="1"/>
    <n v="78"/>
    <x v="513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x v="509"/>
    <x v="513"/>
    <x v="0"/>
    <n v="10"/>
    <x v="514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x v="510"/>
    <x v="514"/>
    <x v="1"/>
    <n v="1773"/>
    <x v="515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x v="511"/>
    <x v="515"/>
    <x v="1"/>
    <n v="32"/>
    <x v="516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x v="512"/>
    <x v="516"/>
    <x v="1"/>
    <n v="369"/>
    <x v="517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x v="513"/>
    <x v="517"/>
    <x v="0"/>
    <n v="191"/>
    <x v="518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x v="514"/>
    <x v="518"/>
    <x v="1"/>
    <n v="89"/>
    <x v="519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x v="515"/>
    <x v="519"/>
    <x v="0"/>
    <n v="1979"/>
    <x v="520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x v="516"/>
    <x v="520"/>
    <x v="0"/>
    <n v="63"/>
    <x v="521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x v="517"/>
    <x v="521"/>
    <x v="1"/>
    <n v="147"/>
    <x v="522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x v="518"/>
    <x v="522"/>
    <x v="0"/>
    <n v="6080"/>
    <x v="523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x v="519"/>
    <x v="523"/>
    <x v="0"/>
    <n v="80"/>
    <x v="524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x v="520"/>
    <x v="524"/>
    <x v="0"/>
    <n v="9"/>
    <x v="525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x v="521"/>
    <x v="525"/>
    <x v="0"/>
    <n v="1784"/>
    <x v="526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x v="522"/>
    <x v="526"/>
    <x v="2"/>
    <n v="3640"/>
    <x v="527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x v="523"/>
    <x v="527"/>
    <x v="1"/>
    <n v="126"/>
    <x v="528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x v="524"/>
    <x v="528"/>
    <x v="1"/>
    <n v="2218"/>
    <x v="529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x v="525"/>
    <x v="529"/>
    <x v="0"/>
    <n v="243"/>
    <x v="530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x v="526"/>
    <x v="530"/>
    <x v="1"/>
    <n v="202"/>
    <x v="531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x v="527"/>
    <x v="531"/>
    <x v="1"/>
    <n v="140"/>
    <x v="532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x v="528"/>
    <x v="532"/>
    <x v="1"/>
    <n v="1052"/>
    <x v="533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x v="529"/>
    <x v="533"/>
    <x v="0"/>
    <n v="1296"/>
    <x v="534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x v="530"/>
    <x v="534"/>
    <x v="0"/>
    <n v="77"/>
    <x v="535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x v="531"/>
    <x v="535"/>
    <x v="1"/>
    <n v="247"/>
    <x v="536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x v="532"/>
    <x v="536"/>
    <x v="0"/>
    <n v="395"/>
    <x v="537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x v="533"/>
    <x v="537"/>
    <x v="0"/>
    <n v="49"/>
    <x v="538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x v="534"/>
    <x v="538"/>
    <x v="0"/>
    <n v="180"/>
    <x v="539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x v="535"/>
    <x v="539"/>
    <x v="1"/>
    <n v="84"/>
    <x v="540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x v="536"/>
    <x v="540"/>
    <x v="0"/>
    <n v="2690"/>
    <x v="54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x v="537"/>
    <x v="541"/>
    <x v="1"/>
    <n v="88"/>
    <x v="542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x v="538"/>
    <x v="542"/>
    <x v="1"/>
    <n v="156"/>
    <x v="543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x v="539"/>
    <x v="543"/>
    <x v="1"/>
    <n v="2985"/>
    <x v="544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x v="540"/>
    <x v="544"/>
    <x v="1"/>
    <n v="762"/>
    <x v="545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x v="443"/>
    <x v="446"/>
    <x v="3"/>
    <n v="1"/>
    <x v="446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x v="541"/>
    <x v="545"/>
    <x v="0"/>
    <n v="2779"/>
    <x v="546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x v="542"/>
    <x v="546"/>
    <x v="0"/>
    <n v="92"/>
    <x v="547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x v="543"/>
    <x v="547"/>
    <x v="0"/>
    <n v="1028"/>
    <x v="54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x v="544"/>
    <x v="548"/>
    <x v="1"/>
    <n v="554"/>
    <x v="549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x v="545"/>
    <x v="549"/>
    <x v="1"/>
    <n v="135"/>
    <x v="550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x v="546"/>
    <x v="550"/>
    <x v="1"/>
    <n v="122"/>
    <x v="551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x v="547"/>
    <x v="551"/>
    <x v="1"/>
    <n v="221"/>
    <x v="552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x v="548"/>
    <x v="552"/>
    <x v="1"/>
    <n v="126"/>
    <x v="553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x v="549"/>
    <x v="553"/>
    <x v="1"/>
    <n v="1022"/>
    <x v="554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x v="550"/>
    <x v="554"/>
    <x v="1"/>
    <n v="3177"/>
    <x v="555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x v="551"/>
    <x v="555"/>
    <x v="1"/>
    <n v="198"/>
    <x v="556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x v="314"/>
    <x v="556"/>
    <x v="0"/>
    <n v="26"/>
    <x v="557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x v="552"/>
    <x v="557"/>
    <x v="1"/>
    <n v="85"/>
    <x v="558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x v="553"/>
    <x v="558"/>
    <x v="0"/>
    <n v="1790"/>
    <x v="559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x v="554"/>
    <x v="559"/>
    <x v="1"/>
    <n v="3596"/>
    <x v="560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x v="555"/>
    <x v="560"/>
    <x v="0"/>
    <n v="37"/>
    <x v="561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x v="556"/>
    <x v="561"/>
    <x v="1"/>
    <n v="244"/>
    <x v="562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x v="557"/>
    <x v="562"/>
    <x v="1"/>
    <n v="5180"/>
    <x v="563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x v="558"/>
    <x v="563"/>
    <x v="1"/>
    <n v="589"/>
    <x v="564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x v="559"/>
    <x v="564"/>
    <x v="1"/>
    <n v="2725"/>
    <x v="565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x v="560"/>
    <x v="565"/>
    <x v="0"/>
    <n v="35"/>
    <x v="566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x v="561"/>
    <x v="566"/>
    <x v="3"/>
    <n v="94"/>
    <x v="567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x v="562"/>
    <x v="567"/>
    <x v="1"/>
    <n v="300"/>
    <x v="568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x v="563"/>
    <x v="568"/>
    <x v="1"/>
    <n v="144"/>
    <x v="569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x v="564"/>
    <x v="569"/>
    <x v="0"/>
    <n v="558"/>
    <x v="570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x v="565"/>
    <x v="570"/>
    <x v="0"/>
    <n v="64"/>
    <x v="571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x v="566"/>
    <x v="571"/>
    <x v="3"/>
    <n v="37"/>
    <x v="572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x v="567"/>
    <x v="572"/>
    <x v="0"/>
    <n v="245"/>
    <x v="573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x v="568"/>
    <x v="573"/>
    <x v="1"/>
    <n v="87"/>
    <x v="574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x v="569"/>
    <x v="574"/>
    <x v="1"/>
    <n v="3116"/>
    <x v="575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x v="570"/>
    <x v="575"/>
    <x v="0"/>
    <n v="71"/>
    <x v="576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x v="571"/>
    <x v="576"/>
    <x v="0"/>
    <n v="42"/>
    <x v="577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x v="572"/>
    <x v="577"/>
    <x v="1"/>
    <n v="909"/>
    <x v="578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x v="573"/>
    <x v="578"/>
    <x v="1"/>
    <n v="1613"/>
    <x v="579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x v="574"/>
    <x v="579"/>
    <x v="1"/>
    <n v="136"/>
    <x v="580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x v="575"/>
    <x v="580"/>
    <x v="1"/>
    <n v="130"/>
    <x v="581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x v="576"/>
    <x v="581"/>
    <x v="0"/>
    <n v="156"/>
    <x v="58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x v="577"/>
    <x v="582"/>
    <x v="0"/>
    <n v="1368"/>
    <x v="583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x v="578"/>
    <x v="583"/>
    <x v="0"/>
    <n v="102"/>
    <x v="584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x v="579"/>
    <x v="584"/>
    <x v="0"/>
    <n v="86"/>
    <x v="585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x v="580"/>
    <x v="585"/>
    <x v="1"/>
    <n v="102"/>
    <x v="586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x v="581"/>
    <x v="586"/>
    <x v="0"/>
    <n v="253"/>
    <x v="587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x v="582"/>
    <x v="587"/>
    <x v="1"/>
    <n v="4006"/>
    <x v="588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x v="583"/>
    <x v="588"/>
    <x v="0"/>
    <n v="157"/>
    <x v="589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x v="584"/>
    <x v="589"/>
    <x v="1"/>
    <n v="1629"/>
    <x v="590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x v="585"/>
    <x v="590"/>
    <x v="0"/>
    <n v="183"/>
    <x v="591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x v="586"/>
    <x v="591"/>
    <x v="1"/>
    <n v="2188"/>
    <x v="592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x v="587"/>
    <x v="592"/>
    <x v="1"/>
    <n v="2409"/>
    <x v="593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x v="588"/>
    <x v="593"/>
    <x v="0"/>
    <n v="82"/>
    <x v="594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x v="297"/>
    <x v="298"/>
    <x v="0"/>
    <n v="1"/>
    <x v="298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x v="589"/>
    <x v="594"/>
    <x v="1"/>
    <n v="194"/>
    <x v="595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x v="590"/>
    <x v="595"/>
    <x v="1"/>
    <n v="1140"/>
    <x v="596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x v="591"/>
    <x v="596"/>
    <x v="1"/>
    <n v="102"/>
    <x v="597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x v="592"/>
    <x v="597"/>
    <x v="1"/>
    <n v="2857"/>
    <x v="598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x v="593"/>
    <x v="598"/>
    <x v="1"/>
    <n v="107"/>
    <x v="599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x v="594"/>
    <x v="599"/>
    <x v="1"/>
    <n v="160"/>
    <x v="600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x v="595"/>
    <x v="600"/>
    <x v="1"/>
    <n v="2230"/>
    <x v="601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x v="416"/>
    <x v="601"/>
    <x v="1"/>
    <n v="316"/>
    <x v="602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x v="596"/>
    <x v="602"/>
    <x v="1"/>
    <n v="117"/>
    <x v="603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x v="597"/>
    <x v="603"/>
    <x v="1"/>
    <n v="6406"/>
    <x v="604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x v="598"/>
    <x v="604"/>
    <x v="3"/>
    <n v="15"/>
    <x v="605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x v="599"/>
    <x v="605"/>
    <x v="1"/>
    <n v="192"/>
    <x v="606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x v="600"/>
    <x v="606"/>
    <x v="1"/>
    <n v="26"/>
    <x v="607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x v="601"/>
    <x v="607"/>
    <x v="1"/>
    <n v="723"/>
    <x v="608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x v="602"/>
    <x v="608"/>
    <x v="1"/>
    <n v="170"/>
    <x v="609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x v="402"/>
    <x v="609"/>
    <x v="1"/>
    <n v="238"/>
    <x v="610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x v="203"/>
    <x v="610"/>
    <x v="1"/>
    <n v="55"/>
    <x v="611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x v="603"/>
    <x v="611"/>
    <x v="0"/>
    <n v="1198"/>
    <x v="612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x v="604"/>
    <x v="612"/>
    <x v="0"/>
    <n v="648"/>
    <x v="613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x v="605"/>
    <x v="613"/>
    <x v="1"/>
    <n v="128"/>
    <x v="614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x v="606"/>
    <x v="614"/>
    <x v="1"/>
    <n v="2144"/>
    <x v="615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x v="607"/>
    <x v="615"/>
    <x v="0"/>
    <n v="64"/>
    <x v="616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x v="608"/>
    <x v="616"/>
    <x v="1"/>
    <n v="2693"/>
    <x v="617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x v="609"/>
    <x v="617"/>
    <x v="1"/>
    <n v="432"/>
    <x v="618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x v="377"/>
    <x v="618"/>
    <x v="0"/>
    <n v="62"/>
    <x v="619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x v="610"/>
    <x v="619"/>
    <x v="1"/>
    <n v="189"/>
    <x v="620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x v="611"/>
    <x v="620"/>
    <x v="1"/>
    <n v="154"/>
    <x v="621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x v="612"/>
    <x v="621"/>
    <x v="1"/>
    <n v="96"/>
    <x v="622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x v="613"/>
    <x v="622"/>
    <x v="0"/>
    <n v="750"/>
    <x v="623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x v="614"/>
    <x v="623"/>
    <x v="3"/>
    <n v="87"/>
    <x v="624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x v="615"/>
    <x v="624"/>
    <x v="1"/>
    <n v="3063"/>
    <x v="625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x v="616"/>
    <x v="625"/>
    <x v="2"/>
    <n v="278"/>
    <x v="62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x v="617"/>
    <x v="626"/>
    <x v="0"/>
    <n v="105"/>
    <x v="627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x v="618"/>
    <x v="627"/>
    <x v="3"/>
    <n v="1658"/>
    <x v="628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x v="619"/>
    <x v="628"/>
    <x v="1"/>
    <n v="2266"/>
    <x v="629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x v="620"/>
    <x v="629"/>
    <x v="0"/>
    <n v="2604"/>
    <x v="630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x v="621"/>
    <x v="630"/>
    <x v="0"/>
    <n v="65"/>
    <x v="631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x v="622"/>
    <x v="631"/>
    <x v="0"/>
    <n v="94"/>
    <x v="632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x v="623"/>
    <x v="632"/>
    <x v="2"/>
    <n v="45"/>
    <x v="633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x v="624"/>
    <x v="633"/>
    <x v="0"/>
    <n v="257"/>
    <x v="634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x v="625"/>
    <x v="634"/>
    <x v="1"/>
    <n v="194"/>
    <x v="635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x v="626"/>
    <x v="635"/>
    <x v="1"/>
    <n v="129"/>
    <x v="636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x v="627"/>
    <x v="636"/>
    <x v="1"/>
    <n v="375"/>
    <x v="637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x v="628"/>
    <x v="637"/>
    <x v="0"/>
    <n v="2928"/>
    <x v="63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x v="629"/>
    <x v="638"/>
    <x v="0"/>
    <n v="4697"/>
    <x v="639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x v="630"/>
    <x v="639"/>
    <x v="0"/>
    <n v="2915"/>
    <x v="640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x v="631"/>
    <x v="640"/>
    <x v="0"/>
    <n v="18"/>
    <x v="641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x v="632"/>
    <x v="641"/>
    <x v="3"/>
    <n v="723"/>
    <x v="642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x v="633"/>
    <x v="642"/>
    <x v="0"/>
    <n v="602"/>
    <x v="643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x v="50"/>
    <x v="50"/>
    <x v="0"/>
    <n v="1"/>
    <x v="50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x v="634"/>
    <x v="643"/>
    <x v="0"/>
    <n v="3868"/>
    <x v="644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x v="635"/>
    <x v="644"/>
    <x v="1"/>
    <n v="409"/>
    <x v="645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x v="636"/>
    <x v="645"/>
    <x v="1"/>
    <n v="234"/>
    <x v="646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x v="637"/>
    <x v="646"/>
    <x v="1"/>
    <n v="3016"/>
    <x v="647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x v="638"/>
    <x v="647"/>
    <x v="1"/>
    <n v="264"/>
    <x v="648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x v="639"/>
    <x v="648"/>
    <x v="0"/>
    <n v="504"/>
    <x v="649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x v="640"/>
    <x v="649"/>
    <x v="0"/>
    <n v="14"/>
    <x v="650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x v="641"/>
    <x v="650"/>
    <x v="3"/>
    <n v="390"/>
    <x v="651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x v="642"/>
    <x v="651"/>
    <x v="0"/>
    <n v="750"/>
    <x v="652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x v="643"/>
    <x v="652"/>
    <x v="0"/>
    <n v="77"/>
    <x v="653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x v="644"/>
    <x v="653"/>
    <x v="0"/>
    <n v="752"/>
    <x v="654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x v="645"/>
    <x v="654"/>
    <x v="0"/>
    <n v="131"/>
    <x v="655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x v="646"/>
    <x v="655"/>
    <x v="0"/>
    <n v="87"/>
    <x v="656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x v="647"/>
    <x v="656"/>
    <x v="0"/>
    <n v="1063"/>
    <x v="657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x v="648"/>
    <x v="657"/>
    <x v="1"/>
    <n v="272"/>
    <x v="658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x v="649"/>
    <x v="658"/>
    <x v="3"/>
    <n v="25"/>
    <x v="659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x v="650"/>
    <x v="659"/>
    <x v="1"/>
    <n v="419"/>
    <x v="660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x v="651"/>
    <x v="660"/>
    <x v="0"/>
    <n v="76"/>
    <x v="661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x v="652"/>
    <x v="661"/>
    <x v="1"/>
    <n v="1621"/>
    <x v="662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x v="653"/>
    <x v="662"/>
    <x v="1"/>
    <n v="1101"/>
    <x v="663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x v="654"/>
    <x v="663"/>
    <x v="1"/>
    <n v="1073"/>
    <x v="664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x v="655"/>
    <x v="664"/>
    <x v="0"/>
    <n v="4428"/>
    <x v="665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x v="656"/>
    <x v="665"/>
    <x v="0"/>
    <n v="58"/>
    <x v="666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x v="657"/>
    <x v="666"/>
    <x v="3"/>
    <n v="1218"/>
    <x v="667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x v="658"/>
    <x v="667"/>
    <x v="1"/>
    <n v="331"/>
    <x v="668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x v="659"/>
    <x v="668"/>
    <x v="1"/>
    <n v="1170"/>
    <x v="669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x v="660"/>
    <x v="669"/>
    <x v="0"/>
    <n v="111"/>
    <x v="670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x v="661"/>
    <x v="670"/>
    <x v="3"/>
    <n v="215"/>
    <x v="671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x v="662"/>
    <x v="671"/>
    <x v="1"/>
    <n v="363"/>
    <x v="672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x v="663"/>
    <x v="672"/>
    <x v="0"/>
    <n v="2955"/>
    <x v="673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x v="664"/>
    <x v="673"/>
    <x v="0"/>
    <n v="1657"/>
    <x v="674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x v="665"/>
    <x v="674"/>
    <x v="1"/>
    <n v="103"/>
    <x v="675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x v="666"/>
    <x v="675"/>
    <x v="1"/>
    <n v="147"/>
    <x v="676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x v="667"/>
    <x v="676"/>
    <x v="1"/>
    <n v="110"/>
    <x v="677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x v="668"/>
    <x v="677"/>
    <x v="0"/>
    <n v="926"/>
    <x v="678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x v="669"/>
    <x v="678"/>
    <x v="1"/>
    <n v="134"/>
    <x v="679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x v="670"/>
    <x v="679"/>
    <x v="1"/>
    <n v="269"/>
    <x v="680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x v="671"/>
    <x v="680"/>
    <x v="1"/>
    <n v="175"/>
    <x v="681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x v="672"/>
    <x v="681"/>
    <x v="1"/>
    <n v="69"/>
    <x v="682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x v="673"/>
    <x v="682"/>
    <x v="1"/>
    <n v="190"/>
    <x v="683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x v="674"/>
    <x v="683"/>
    <x v="1"/>
    <n v="237"/>
    <x v="684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x v="675"/>
    <x v="684"/>
    <x v="0"/>
    <n v="77"/>
    <x v="685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x v="676"/>
    <x v="685"/>
    <x v="0"/>
    <n v="1748"/>
    <x v="686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x v="677"/>
    <x v="686"/>
    <x v="0"/>
    <n v="79"/>
    <x v="687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x v="678"/>
    <x v="687"/>
    <x v="1"/>
    <n v="196"/>
    <x v="688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x v="679"/>
    <x v="688"/>
    <x v="0"/>
    <n v="889"/>
    <x v="689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x v="680"/>
    <x v="689"/>
    <x v="1"/>
    <n v="7295"/>
    <x v="690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x v="681"/>
    <x v="690"/>
    <x v="1"/>
    <n v="2893"/>
    <x v="691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x v="682"/>
    <x v="691"/>
    <x v="0"/>
    <n v="56"/>
    <x v="692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x v="247"/>
    <x v="248"/>
    <x v="0"/>
    <n v="1"/>
    <x v="248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x v="683"/>
    <x v="692"/>
    <x v="1"/>
    <n v="820"/>
    <x v="693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x v="684"/>
    <x v="693"/>
    <x v="0"/>
    <n v="83"/>
    <x v="694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x v="685"/>
    <x v="694"/>
    <x v="1"/>
    <n v="2038"/>
    <x v="695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x v="686"/>
    <x v="695"/>
    <x v="1"/>
    <n v="116"/>
    <x v="696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x v="687"/>
    <x v="696"/>
    <x v="0"/>
    <n v="2025"/>
    <x v="697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x v="688"/>
    <x v="697"/>
    <x v="1"/>
    <n v="1345"/>
    <x v="698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x v="689"/>
    <x v="698"/>
    <x v="1"/>
    <n v="168"/>
    <x v="699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x v="690"/>
    <x v="699"/>
    <x v="1"/>
    <n v="137"/>
    <x v="700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x v="691"/>
    <x v="700"/>
    <x v="1"/>
    <n v="186"/>
    <x v="701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x v="692"/>
    <x v="701"/>
    <x v="1"/>
    <n v="125"/>
    <x v="702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x v="693"/>
    <x v="702"/>
    <x v="0"/>
    <n v="14"/>
    <x v="703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x v="694"/>
    <x v="703"/>
    <x v="1"/>
    <n v="202"/>
    <x v="704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x v="695"/>
    <x v="704"/>
    <x v="1"/>
    <n v="103"/>
    <x v="705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x v="696"/>
    <x v="705"/>
    <x v="1"/>
    <n v="1785"/>
    <x v="706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x v="697"/>
    <x v="706"/>
    <x v="0"/>
    <n v="656"/>
    <x v="707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x v="698"/>
    <x v="707"/>
    <x v="1"/>
    <n v="157"/>
    <x v="708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x v="699"/>
    <x v="708"/>
    <x v="1"/>
    <n v="555"/>
    <x v="709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x v="700"/>
    <x v="709"/>
    <x v="1"/>
    <n v="297"/>
    <x v="710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x v="701"/>
    <x v="710"/>
    <x v="1"/>
    <n v="123"/>
    <x v="711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x v="702"/>
    <x v="711"/>
    <x v="3"/>
    <n v="38"/>
    <x v="712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x v="703"/>
    <x v="712"/>
    <x v="3"/>
    <n v="60"/>
    <x v="713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x v="704"/>
    <x v="713"/>
    <x v="1"/>
    <n v="3036"/>
    <x v="714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x v="705"/>
    <x v="714"/>
    <x v="1"/>
    <n v="144"/>
    <x v="715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x v="706"/>
    <x v="715"/>
    <x v="1"/>
    <n v="121"/>
    <x v="716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x v="707"/>
    <x v="716"/>
    <x v="0"/>
    <n v="1596"/>
    <x v="717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x v="708"/>
    <x v="717"/>
    <x v="3"/>
    <n v="524"/>
    <x v="718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x v="709"/>
    <x v="718"/>
    <x v="1"/>
    <n v="181"/>
    <x v="719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x v="710"/>
    <x v="719"/>
    <x v="0"/>
    <n v="10"/>
    <x v="720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x v="711"/>
    <x v="720"/>
    <x v="1"/>
    <n v="122"/>
    <x v="721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x v="712"/>
    <x v="721"/>
    <x v="1"/>
    <n v="1071"/>
    <x v="722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x v="713"/>
    <x v="722"/>
    <x v="3"/>
    <n v="219"/>
    <x v="723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x v="714"/>
    <x v="723"/>
    <x v="0"/>
    <n v="1121"/>
    <x v="724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x v="715"/>
    <x v="724"/>
    <x v="1"/>
    <n v="980"/>
    <x v="725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x v="716"/>
    <x v="725"/>
    <x v="1"/>
    <n v="536"/>
    <x v="726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x v="717"/>
    <x v="726"/>
    <x v="1"/>
    <n v="1991"/>
    <x v="727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x v="718"/>
    <x v="727"/>
    <x v="3"/>
    <n v="29"/>
    <x v="728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x v="719"/>
    <x v="728"/>
    <x v="1"/>
    <n v="180"/>
    <x v="729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x v="720"/>
    <x v="729"/>
    <x v="0"/>
    <n v="15"/>
    <x v="730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x v="721"/>
    <x v="730"/>
    <x v="0"/>
    <n v="191"/>
    <x v="731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x v="722"/>
    <x v="731"/>
    <x v="0"/>
    <n v="16"/>
    <x v="732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x v="723"/>
    <x v="732"/>
    <x v="1"/>
    <n v="130"/>
    <x v="733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x v="724"/>
    <x v="733"/>
    <x v="1"/>
    <n v="122"/>
    <x v="734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x v="725"/>
    <x v="734"/>
    <x v="0"/>
    <n v="17"/>
    <x v="735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x v="726"/>
    <x v="735"/>
    <x v="1"/>
    <n v="140"/>
    <x v="736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x v="727"/>
    <x v="736"/>
    <x v="0"/>
    <n v="34"/>
    <x v="737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x v="728"/>
    <x v="737"/>
    <x v="1"/>
    <n v="3388"/>
    <x v="112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x v="729"/>
    <x v="738"/>
    <x v="1"/>
    <n v="280"/>
    <x v="738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x v="730"/>
    <x v="739"/>
    <x v="3"/>
    <n v="614"/>
    <x v="739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x v="731"/>
    <x v="740"/>
    <x v="1"/>
    <n v="366"/>
    <x v="740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x v="99"/>
    <x v="100"/>
    <x v="0"/>
    <n v="1"/>
    <x v="100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x v="732"/>
    <x v="741"/>
    <x v="1"/>
    <n v="270"/>
    <x v="741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x v="733"/>
    <x v="742"/>
    <x v="3"/>
    <n v="114"/>
    <x v="742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x v="734"/>
    <x v="743"/>
    <x v="1"/>
    <n v="137"/>
    <x v="743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x v="735"/>
    <x v="744"/>
    <x v="1"/>
    <n v="3205"/>
    <x v="744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x v="562"/>
    <x v="745"/>
    <x v="1"/>
    <n v="288"/>
    <x v="745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x v="736"/>
    <x v="746"/>
    <x v="1"/>
    <n v="148"/>
    <x v="746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x v="737"/>
    <x v="747"/>
    <x v="1"/>
    <n v="114"/>
    <x v="747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x v="738"/>
    <x v="748"/>
    <x v="1"/>
    <n v="1518"/>
    <x v="748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x v="739"/>
    <x v="749"/>
    <x v="0"/>
    <n v="1274"/>
    <x v="749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x v="740"/>
    <x v="750"/>
    <x v="0"/>
    <n v="210"/>
    <x v="750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x v="741"/>
    <x v="751"/>
    <x v="1"/>
    <n v="166"/>
    <x v="751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x v="742"/>
    <x v="752"/>
    <x v="1"/>
    <n v="100"/>
    <x v="752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x v="207"/>
    <x v="753"/>
    <x v="1"/>
    <n v="235"/>
    <x v="753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x v="743"/>
    <x v="754"/>
    <x v="1"/>
    <n v="148"/>
    <x v="754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x v="744"/>
    <x v="755"/>
    <x v="1"/>
    <n v="198"/>
    <x v="755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x v="49"/>
    <x v="756"/>
    <x v="0"/>
    <n v="248"/>
    <x v="756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x v="745"/>
    <x v="757"/>
    <x v="0"/>
    <n v="513"/>
    <x v="757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x v="746"/>
    <x v="758"/>
    <x v="1"/>
    <n v="150"/>
    <x v="758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x v="747"/>
    <x v="759"/>
    <x v="0"/>
    <n v="3410"/>
    <x v="759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x v="748"/>
    <x v="760"/>
    <x v="1"/>
    <n v="216"/>
    <x v="760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x v="749"/>
    <x v="761"/>
    <x v="3"/>
    <n v="26"/>
    <x v="761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x v="750"/>
    <x v="762"/>
    <x v="1"/>
    <n v="5139"/>
    <x v="762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x v="751"/>
    <x v="763"/>
    <x v="1"/>
    <n v="2353"/>
    <x v="763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x v="752"/>
    <x v="764"/>
    <x v="1"/>
    <n v="78"/>
    <x v="764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x v="197"/>
    <x v="765"/>
    <x v="0"/>
    <n v="10"/>
    <x v="765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x v="753"/>
    <x v="766"/>
    <x v="0"/>
    <n v="2201"/>
    <x v="766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x v="754"/>
    <x v="767"/>
    <x v="0"/>
    <n v="676"/>
    <x v="767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x v="755"/>
    <x v="768"/>
    <x v="1"/>
    <n v="174"/>
    <x v="768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x v="756"/>
    <x v="769"/>
    <x v="0"/>
    <n v="831"/>
    <x v="769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x v="757"/>
    <x v="770"/>
    <x v="1"/>
    <n v="164"/>
    <x v="770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x v="758"/>
    <x v="771"/>
    <x v="3"/>
    <n v="56"/>
    <x v="771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x v="759"/>
    <x v="772"/>
    <x v="1"/>
    <n v="161"/>
    <x v="772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x v="760"/>
    <x v="773"/>
    <x v="1"/>
    <n v="138"/>
    <x v="773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x v="761"/>
    <x v="774"/>
    <x v="1"/>
    <n v="3308"/>
    <x v="774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x v="762"/>
    <x v="775"/>
    <x v="1"/>
    <n v="127"/>
    <x v="775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x v="763"/>
    <x v="776"/>
    <x v="1"/>
    <n v="207"/>
    <x v="776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x v="764"/>
    <x v="777"/>
    <x v="0"/>
    <n v="859"/>
    <x v="777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x v="765"/>
    <x v="778"/>
    <x v="2"/>
    <n v="31"/>
    <x v="778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x v="766"/>
    <x v="779"/>
    <x v="0"/>
    <n v="45"/>
    <x v="779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x v="767"/>
    <x v="780"/>
    <x v="3"/>
    <n v="1113"/>
    <x v="780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x v="768"/>
    <x v="781"/>
    <x v="0"/>
    <n v="6"/>
    <x v="703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x v="769"/>
    <x v="782"/>
    <x v="0"/>
    <n v="7"/>
    <x v="781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x v="770"/>
    <x v="783"/>
    <x v="1"/>
    <n v="181"/>
    <x v="782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x v="771"/>
    <x v="784"/>
    <x v="1"/>
    <n v="110"/>
    <x v="783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x v="772"/>
    <x v="785"/>
    <x v="0"/>
    <n v="31"/>
    <x v="784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x v="773"/>
    <x v="786"/>
    <x v="0"/>
    <n v="78"/>
    <x v="785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x v="774"/>
    <x v="787"/>
    <x v="1"/>
    <n v="185"/>
    <x v="786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x v="775"/>
    <x v="788"/>
    <x v="1"/>
    <n v="121"/>
    <x v="787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x v="776"/>
    <x v="789"/>
    <x v="0"/>
    <n v="1225"/>
    <x v="788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x v="99"/>
    <x v="100"/>
    <x v="0"/>
    <n v="1"/>
    <x v="100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x v="777"/>
    <x v="790"/>
    <x v="1"/>
    <n v="106"/>
    <x v="789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x v="778"/>
    <x v="791"/>
    <x v="1"/>
    <n v="142"/>
    <x v="790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x v="106"/>
    <x v="792"/>
    <x v="1"/>
    <n v="233"/>
    <x v="791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x v="779"/>
    <x v="793"/>
    <x v="1"/>
    <n v="218"/>
    <x v="792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x v="780"/>
    <x v="794"/>
    <x v="0"/>
    <n v="67"/>
    <x v="793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x v="781"/>
    <x v="795"/>
    <x v="1"/>
    <n v="76"/>
    <x v="794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x v="782"/>
    <x v="796"/>
    <x v="1"/>
    <n v="43"/>
    <x v="795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x v="783"/>
    <x v="797"/>
    <x v="0"/>
    <n v="19"/>
    <x v="796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x v="784"/>
    <x v="798"/>
    <x v="0"/>
    <n v="2108"/>
    <x v="797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x v="785"/>
    <x v="799"/>
    <x v="1"/>
    <n v="221"/>
    <x v="798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x v="786"/>
    <x v="800"/>
    <x v="0"/>
    <n v="679"/>
    <x v="799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x v="787"/>
    <x v="801"/>
    <x v="1"/>
    <n v="2805"/>
    <x v="800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x v="788"/>
    <x v="802"/>
    <x v="1"/>
    <n v="68"/>
    <x v="801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x v="789"/>
    <x v="803"/>
    <x v="0"/>
    <n v="36"/>
    <x v="802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x v="790"/>
    <x v="804"/>
    <x v="1"/>
    <n v="183"/>
    <x v="803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x v="723"/>
    <x v="805"/>
    <x v="1"/>
    <n v="133"/>
    <x v="804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x v="791"/>
    <x v="806"/>
    <x v="1"/>
    <n v="2489"/>
    <x v="805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x v="792"/>
    <x v="807"/>
    <x v="1"/>
    <n v="69"/>
    <x v="806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x v="793"/>
    <x v="808"/>
    <x v="0"/>
    <n v="47"/>
    <x v="807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x v="794"/>
    <x v="809"/>
    <x v="1"/>
    <n v="279"/>
    <x v="808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x v="795"/>
    <x v="810"/>
    <x v="1"/>
    <n v="210"/>
    <x v="809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x v="796"/>
    <x v="811"/>
    <x v="1"/>
    <n v="2100"/>
    <x v="810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x v="797"/>
    <x v="812"/>
    <x v="1"/>
    <n v="252"/>
    <x v="811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x v="798"/>
    <x v="813"/>
    <x v="1"/>
    <n v="1280"/>
    <x v="812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x v="799"/>
    <x v="814"/>
    <x v="1"/>
    <n v="157"/>
    <x v="813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x v="800"/>
    <x v="815"/>
    <x v="1"/>
    <n v="194"/>
    <x v="814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x v="801"/>
    <x v="816"/>
    <x v="1"/>
    <n v="82"/>
    <x v="815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x v="802"/>
    <x v="817"/>
    <x v="0"/>
    <n v="70"/>
    <x v="816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x v="803"/>
    <x v="818"/>
    <x v="0"/>
    <n v="154"/>
    <x v="817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x v="804"/>
    <x v="819"/>
    <x v="0"/>
    <n v="22"/>
    <x v="818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x v="805"/>
    <x v="820"/>
    <x v="1"/>
    <n v="4233"/>
    <x v="819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x v="806"/>
    <x v="821"/>
    <x v="1"/>
    <n v="1297"/>
    <x v="820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x v="807"/>
    <x v="822"/>
    <x v="1"/>
    <n v="165"/>
    <x v="821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x v="808"/>
    <x v="823"/>
    <x v="1"/>
    <n v="119"/>
    <x v="822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x v="809"/>
    <x v="824"/>
    <x v="0"/>
    <n v="1758"/>
    <x v="823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x v="810"/>
    <x v="825"/>
    <x v="0"/>
    <n v="94"/>
    <x v="824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x v="811"/>
    <x v="826"/>
    <x v="1"/>
    <n v="1797"/>
    <x v="825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x v="812"/>
    <x v="827"/>
    <x v="1"/>
    <n v="261"/>
    <x v="826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x v="813"/>
    <x v="828"/>
    <x v="1"/>
    <n v="157"/>
    <x v="827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x v="814"/>
    <x v="829"/>
    <x v="1"/>
    <n v="3533"/>
    <x v="828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x v="815"/>
    <x v="830"/>
    <x v="1"/>
    <n v="155"/>
    <x v="829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x v="816"/>
    <x v="831"/>
    <x v="1"/>
    <n v="132"/>
    <x v="830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x v="817"/>
    <x v="832"/>
    <x v="0"/>
    <n v="33"/>
    <x v="831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x v="818"/>
    <x v="833"/>
    <x v="3"/>
    <n v="94"/>
    <x v="832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x v="819"/>
    <x v="834"/>
    <x v="1"/>
    <n v="1354"/>
    <x v="833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x v="820"/>
    <x v="835"/>
    <x v="1"/>
    <n v="48"/>
    <x v="834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x v="695"/>
    <x v="836"/>
    <x v="1"/>
    <n v="110"/>
    <x v="835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x v="821"/>
    <x v="837"/>
    <x v="1"/>
    <n v="172"/>
    <x v="836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x v="822"/>
    <x v="838"/>
    <x v="1"/>
    <n v="307"/>
    <x v="837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x v="99"/>
    <x v="100"/>
    <x v="0"/>
    <n v="1"/>
    <x v="100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x v="823"/>
    <x v="839"/>
    <x v="1"/>
    <n v="160"/>
    <x v="838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x v="824"/>
    <x v="840"/>
    <x v="0"/>
    <n v="31"/>
    <x v="839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x v="825"/>
    <x v="841"/>
    <x v="1"/>
    <n v="1467"/>
    <x v="840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x v="826"/>
    <x v="842"/>
    <x v="1"/>
    <n v="2662"/>
    <x v="841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x v="827"/>
    <x v="843"/>
    <x v="1"/>
    <n v="452"/>
    <x v="842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x v="828"/>
    <x v="844"/>
    <x v="1"/>
    <n v="158"/>
    <x v="843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x v="829"/>
    <x v="845"/>
    <x v="1"/>
    <n v="225"/>
    <x v="844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x v="830"/>
    <x v="846"/>
    <x v="0"/>
    <n v="35"/>
    <x v="845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x v="831"/>
    <x v="847"/>
    <x v="0"/>
    <n v="63"/>
    <x v="846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x v="832"/>
    <x v="848"/>
    <x v="1"/>
    <n v="65"/>
    <x v="847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x v="833"/>
    <x v="849"/>
    <x v="1"/>
    <n v="163"/>
    <x v="848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x v="834"/>
    <x v="850"/>
    <x v="1"/>
    <n v="85"/>
    <x v="849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x v="835"/>
    <x v="851"/>
    <x v="1"/>
    <n v="217"/>
    <x v="850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x v="836"/>
    <x v="852"/>
    <x v="1"/>
    <n v="150"/>
    <x v="851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x v="837"/>
    <x v="853"/>
    <x v="1"/>
    <n v="3272"/>
    <x v="852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x v="838"/>
    <x v="854"/>
    <x v="3"/>
    <n v="898"/>
    <x v="853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x v="839"/>
    <x v="855"/>
    <x v="1"/>
    <n v="300"/>
    <x v="854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x v="762"/>
    <x v="856"/>
    <x v="1"/>
    <n v="126"/>
    <x v="855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x v="840"/>
    <x v="857"/>
    <x v="0"/>
    <n v="526"/>
    <x v="856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x v="841"/>
    <x v="858"/>
    <x v="0"/>
    <n v="121"/>
    <x v="857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x v="842"/>
    <x v="859"/>
    <x v="1"/>
    <n v="2320"/>
    <x v="858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x v="843"/>
    <x v="860"/>
    <x v="1"/>
    <n v="81"/>
    <x v="859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x v="844"/>
    <x v="861"/>
    <x v="1"/>
    <n v="1887"/>
    <x v="860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x v="845"/>
    <x v="862"/>
    <x v="1"/>
    <n v="4358"/>
    <x v="861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x v="846"/>
    <x v="863"/>
    <x v="0"/>
    <n v="67"/>
    <x v="862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x v="847"/>
    <x v="864"/>
    <x v="0"/>
    <n v="57"/>
    <x v="863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x v="848"/>
    <x v="865"/>
    <x v="0"/>
    <n v="1229"/>
    <x v="864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x v="849"/>
    <x v="866"/>
    <x v="0"/>
    <n v="12"/>
    <x v="865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x v="675"/>
    <x v="867"/>
    <x v="1"/>
    <n v="53"/>
    <x v="866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x v="850"/>
    <x v="868"/>
    <x v="1"/>
    <n v="2414"/>
    <x v="867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x v="851"/>
    <x v="869"/>
    <x v="0"/>
    <n v="452"/>
    <x v="868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x v="852"/>
    <x v="870"/>
    <x v="1"/>
    <n v="80"/>
    <x v="869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x v="853"/>
    <x v="871"/>
    <x v="1"/>
    <n v="193"/>
    <x v="870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x v="854"/>
    <x v="872"/>
    <x v="0"/>
    <n v="1886"/>
    <x v="871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x v="855"/>
    <x v="873"/>
    <x v="1"/>
    <n v="52"/>
    <x v="872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x v="856"/>
    <x v="874"/>
    <x v="0"/>
    <n v="1825"/>
    <x v="873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x v="857"/>
    <x v="875"/>
    <x v="0"/>
    <n v="31"/>
    <x v="874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x v="858"/>
    <x v="876"/>
    <x v="1"/>
    <n v="290"/>
    <x v="875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x v="859"/>
    <x v="877"/>
    <x v="1"/>
    <n v="122"/>
    <x v="876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x v="860"/>
    <x v="878"/>
    <x v="1"/>
    <n v="1470"/>
    <x v="877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x v="861"/>
    <x v="879"/>
    <x v="1"/>
    <n v="165"/>
    <x v="878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x v="862"/>
    <x v="880"/>
    <x v="1"/>
    <n v="182"/>
    <x v="879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x v="863"/>
    <x v="881"/>
    <x v="1"/>
    <n v="199"/>
    <x v="880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x v="9"/>
    <x v="882"/>
    <x v="1"/>
    <n v="56"/>
    <x v="881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x v="611"/>
    <x v="883"/>
    <x v="0"/>
    <n v="107"/>
    <x v="882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x v="864"/>
    <x v="884"/>
    <x v="1"/>
    <n v="1460"/>
    <x v="883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x v="865"/>
    <x v="885"/>
    <x v="0"/>
    <n v="27"/>
    <x v="884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x v="866"/>
    <x v="886"/>
    <x v="0"/>
    <n v="1221"/>
    <x v="885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x v="867"/>
    <x v="887"/>
    <x v="1"/>
    <n v="123"/>
    <x v="886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x v="50"/>
    <x v="50"/>
    <x v="0"/>
    <n v="1"/>
    <x v="50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x v="868"/>
    <x v="888"/>
    <x v="1"/>
    <n v="159"/>
    <x v="887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x v="869"/>
    <x v="889"/>
    <x v="1"/>
    <n v="110"/>
    <x v="888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x v="870"/>
    <x v="890"/>
    <x v="2"/>
    <n v="14"/>
    <x v="889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x v="871"/>
    <x v="891"/>
    <x v="0"/>
    <n v="16"/>
    <x v="890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x v="872"/>
    <x v="892"/>
    <x v="1"/>
    <n v="236"/>
    <x v="891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x v="873"/>
    <x v="893"/>
    <x v="1"/>
    <n v="191"/>
    <x v="892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x v="874"/>
    <x v="894"/>
    <x v="0"/>
    <n v="41"/>
    <x v="893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x v="875"/>
    <x v="895"/>
    <x v="1"/>
    <n v="3934"/>
    <x v="894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x v="876"/>
    <x v="896"/>
    <x v="1"/>
    <n v="80"/>
    <x v="895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x v="877"/>
    <x v="897"/>
    <x v="3"/>
    <n v="296"/>
    <x v="896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x v="878"/>
    <x v="898"/>
    <x v="1"/>
    <n v="462"/>
    <x v="897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x v="879"/>
    <x v="899"/>
    <x v="1"/>
    <n v="179"/>
    <x v="898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x v="880"/>
    <x v="900"/>
    <x v="0"/>
    <n v="523"/>
    <x v="899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x v="881"/>
    <x v="901"/>
    <x v="0"/>
    <n v="141"/>
    <x v="900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x v="882"/>
    <x v="902"/>
    <x v="1"/>
    <n v="1866"/>
    <x v="901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x v="883"/>
    <x v="903"/>
    <x v="0"/>
    <n v="52"/>
    <x v="902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x v="884"/>
    <x v="904"/>
    <x v="2"/>
    <n v="27"/>
    <x v="903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x v="885"/>
    <x v="905"/>
    <x v="1"/>
    <n v="156"/>
    <x v="904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x v="886"/>
    <x v="906"/>
    <x v="0"/>
    <n v="225"/>
    <x v="905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x v="887"/>
    <x v="907"/>
    <x v="1"/>
    <n v="255"/>
    <x v="906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x v="888"/>
    <x v="908"/>
    <x v="0"/>
    <n v="38"/>
    <x v="907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x v="889"/>
    <x v="909"/>
    <x v="1"/>
    <n v="2261"/>
    <x v="908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x v="890"/>
    <x v="910"/>
    <x v="1"/>
    <n v="40"/>
    <x v="909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x v="891"/>
    <x v="911"/>
    <x v="1"/>
    <n v="2289"/>
    <x v="910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x v="892"/>
    <x v="912"/>
    <x v="1"/>
    <n v="65"/>
    <x v="911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x v="893"/>
    <x v="913"/>
    <x v="0"/>
    <n v="15"/>
    <x v="912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x v="894"/>
    <x v="914"/>
    <x v="0"/>
    <n v="37"/>
    <x v="913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x v="895"/>
    <x v="915"/>
    <x v="1"/>
    <n v="3777"/>
    <x v="914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x v="896"/>
    <x v="916"/>
    <x v="1"/>
    <n v="184"/>
    <x v="915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x v="897"/>
    <x v="917"/>
    <x v="1"/>
    <n v="85"/>
    <x v="916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x v="898"/>
    <x v="918"/>
    <x v="0"/>
    <n v="112"/>
    <x v="917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x v="899"/>
    <x v="919"/>
    <x v="1"/>
    <n v="144"/>
    <x v="918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x v="900"/>
    <x v="920"/>
    <x v="1"/>
    <n v="1902"/>
    <x v="919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x v="901"/>
    <x v="921"/>
    <x v="1"/>
    <n v="105"/>
    <x v="920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x v="902"/>
    <x v="922"/>
    <x v="1"/>
    <n v="132"/>
    <x v="921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x v="903"/>
    <x v="923"/>
    <x v="0"/>
    <n v="21"/>
    <x v="922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x v="904"/>
    <x v="924"/>
    <x v="3"/>
    <n v="976"/>
    <x v="923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x v="905"/>
    <x v="925"/>
    <x v="1"/>
    <n v="96"/>
    <x v="924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x v="906"/>
    <x v="926"/>
    <x v="0"/>
    <n v="67"/>
    <x v="925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x v="907"/>
    <x v="927"/>
    <x v="2"/>
    <n v="66"/>
    <x v="926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x v="908"/>
    <x v="928"/>
    <x v="0"/>
    <n v="78"/>
    <x v="927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x v="909"/>
    <x v="929"/>
    <x v="0"/>
    <n v="67"/>
    <x v="928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x v="910"/>
    <x v="930"/>
    <x v="1"/>
    <n v="114"/>
    <x v="929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x v="911"/>
    <x v="931"/>
    <x v="0"/>
    <n v="263"/>
    <x v="930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x v="912"/>
    <x v="932"/>
    <x v="0"/>
    <n v="1691"/>
    <x v="931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x v="913"/>
    <x v="933"/>
    <x v="0"/>
    <n v="181"/>
    <x v="932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x v="914"/>
    <x v="934"/>
    <x v="0"/>
    <n v="13"/>
    <x v="933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x v="915"/>
    <x v="935"/>
    <x v="3"/>
    <n v="160"/>
    <x v="934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x v="916"/>
    <x v="936"/>
    <x v="1"/>
    <n v="203"/>
    <x v="935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x v="297"/>
    <x v="298"/>
    <x v="0"/>
    <n v="1"/>
    <x v="298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x v="917"/>
    <x v="937"/>
    <x v="1"/>
    <n v="1559"/>
    <x v="936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x v="918"/>
    <x v="938"/>
    <x v="3"/>
    <n v="2266"/>
    <x v="937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x v="919"/>
    <x v="939"/>
    <x v="0"/>
    <n v="21"/>
    <x v="938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x v="920"/>
    <x v="940"/>
    <x v="1"/>
    <n v="1548"/>
    <x v="939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x v="921"/>
    <x v="941"/>
    <x v="1"/>
    <n v="80"/>
    <x v="940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x v="922"/>
    <x v="942"/>
    <x v="0"/>
    <n v="830"/>
    <x v="941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x v="923"/>
    <x v="943"/>
    <x v="1"/>
    <n v="131"/>
    <x v="942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x v="924"/>
    <x v="944"/>
    <x v="1"/>
    <n v="112"/>
    <x v="943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x v="925"/>
    <x v="945"/>
    <x v="0"/>
    <n v="130"/>
    <x v="944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x v="926"/>
    <x v="946"/>
    <x v="0"/>
    <n v="55"/>
    <x v="945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x v="927"/>
    <x v="947"/>
    <x v="1"/>
    <n v="155"/>
    <x v="946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x v="928"/>
    <x v="948"/>
    <x v="1"/>
    <n v="266"/>
    <x v="947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x v="929"/>
    <x v="949"/>
    <x v="0"/>
    <n v="114"/>
    <x v="948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x v="930"/>
    <x v="950"/>
    <x v="1"/>
    <n v="155"/>
    <x v="949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x v="931"/>
    <x v="951"/>
    <x v="1"/>
    <n v="207"/>
    <x v="950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x v="932"/>
    <x v="952"/>
    <x v="1"/>
    <n v="245"/>
    <x v="951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x v="933"/>
    <x v="953"/>
    <x v="1"/>
    <n v="1573"/>
    <x v="952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x v="934"/>
    <x v="954"/>
    <x v="1"/>
    <n v="114"/>
    <x v="953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x v="935"/>
    <x v="955"/>
    <x v="1"/>
    <n v="93"/>
    <x v="95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x v="936"/>
    <x v="956"/>
    <x v="0"/>
    <n v="594"/>
    <x v="955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x v="937"/>
    <x v="957"/>
    <x v="0"/>
    <n v="24"/>
    <x v="956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x v="938"/>
    <x v="958"/>
    <x v="1"/>
    <n v="1681"/>
    <x v="957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x v="939"/>
    <x v="959"/>
    <x v="0"/>
    <n v="252"/>
    <x v="958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x v="940"/>
    <x v="960"/>
    <x v="1"/>
    <n v="32"/>
    <x v="959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x v="941"/>
    <x v="961"/>
    <x v="1"/>
    <n v="135"/>
    <x v="960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x v="942"/>
    <x v="962"/>
    <x v="1"/>
    <n v="140"/>
    <x v="961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x v="943"/>
    <x v="963"/>
    <x v="0"/>
    <n v="67"/>
    <x v="962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x v="944"/>
    <x v="964"/>
    <x v="1"/>
    <n v="92"/>
    <x v="963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x v="945"/>
    <x v="965"/>
    <x v="1"/>
    <n v="1015"/>
    <x v="964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x v="946"/>
    <x v="966"/>
    <x v="0"/>
    <n v="742"/>
    <x v="965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x v="947"/>
    <x v="967"/>
    <x v="1"/>
    <n v="323"/>
    <x v="966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x v="948"/>
    <x v="968"/>
    <x v="0"/>
    <n v="75"/>
    <x v="967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x v="949"/>
    <x v="969"/>
    <x v="1"/>
    <n v="2326"/>
    <x v="968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x v="950"/>
    <x v="970"/>
    <x v="1"/>
    <n v="381"/>
    <x v="969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x v="951"/>
    <x v="971"/>
    <x v="0"/>
    <n v="4405"/>
    <x v="970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x v="952"/>
    <x v="972"/>
    <x v="0"/>
    <n v="92"/>
    <x v="971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x v="953"/>
    <x v="973"/>
    <x v="1"/>
    <n v="480"/>
    <x v="972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x v="802"/>
    <x v="974"/>
    <x v="0"/>
    <n v="64"/>
    <x v="973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x v="954"/>
    <x v="975"/>
    <x v="1"/>
    <n v="226"/>
    <x v="974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x v="955"/>
    <x v="976"/>
    <x v="0"/>
    <n v="64"/>
    <x v="975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x v="551"/>
    <x v="977"/>
    <x v="1"/>
    <n v="241"/>
    <x v="976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x v="956"/>
    <x v="978"/>
    <x v="1"/>
    <n v="132"/>
    <x v="977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x v="957"/>
    <x v="979"/>
    <x v="3"/>
    <n v="75"/>
    <x v="978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x v="958"/>
    <x v="980"/>
    <x v="0"/>
    <n v="842"/>
    <x v="979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x v="959"/>
    <x v="981"/>
    <x v="1"/>
    <n v="2043"/>
    <x v="980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x v="960"/>
    <x v="982"/>
    <x v="0"/>
    <n v="112"/>
    <x v="981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x v="961"/>
    <x v="983"/>
    <x v="3"/>
    <n v="139"/>
    <x v="982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x v="962"/>
    <x v="984"/>
    <x v="0"/>
    <n v="374"/>
    <x v="983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x v="963"/>
    <x v="985"/>
    <x v="3"/>
    <n v="1122"/>
    <x v="984"/>
    <x v="1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s v="Odom Inc"/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s v="music/rock"/>
    <x v="1"/>
    <x v="1"/>
  </r>
  <r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s v="technology/web"/>
    <x v="2"/>
    <x v="2"/>
  </r>
  <r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s v="music/rock"/>
    <x v="1"/>
    <x v="1"/>
  </r>
  <r>
    <s v="Larson-Little"/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s v="theater/plays"/>
    <x v="3"/>
    <x v="3"/>
  </r>
  <r>
    <s v="Harris Group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s v="theater/plays"/>
    <x v="3"/>
    <x v="3"/>
  </r>
  <r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s v="film &amp; video/documentary"/>
    <x v="4"/>
    <x v="4"/>
  </r>
  <r>
    <s v="Carter-Guzman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s v="theater/plays"/>
    <x v="3"/>
    <x v="3"/>
  </r>
  <r>
    <s v="Nunez-Richards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s v="theater/plays"/>
    <x v="3"/>
    <x v="3"/>
  </r>
  <r>
    <s v="Rangel, Holt and Jones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s v="music/electric music"/>
    <x v="1"/>
    <x v="5"/>
  </r>
  <r>
    <s v="Green Ltd"/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s v="film &amp; video/drama"/>
    <x v="4"/>
    <x v="6"/>
  </r>
  <r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s v="theater/plays"/>
    <x v="3"/>
    <x v="3"/>
  </r>
  <r>
    <s v="Kim Ltd"/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s v="film &amp; video/drama"/>
    <x v="4"/>
    <x v="6"/>
  </r>
  <r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s v="music/indie rock"/>
    <x v="1"/>
    <x v="7"/>
  </r>
  <r>
    <s v="Rodriguez, Rose and Stewart"/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s v="music/indie rock"/>
    <x v="1"/>
    <x v="7"/>
  </r>
  <r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s v="technology/wearables"/>
    <x v="2"/>
    <x v="8"/>
  </r>
  <r>
    <s v="Hines Inc"/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s v="publishing/nonfiction"/>
    <x v="5"/>
    <x v="9"/>
  </r>
  <r>
    <s v="Cochran-Nguyen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s v="film &amp; video/animation"/>
    <x v="4"/>
    <x v="10"/>
  </r>
  <r>
    <s v="Johnson-Gould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s v="theater/plays"/>
    <x v="3"/>
    <x v="3"/>
  </r>
  <r>
    <s v="Perez-Hess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s v="theater/plays"/>
    <x v="3"/>
    <x v="3"/>
  </r>
  <r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s v="film &amp; video/drama"/>
    <x v="4"/>
    <x v="6"/>
  </r>
  <r>
    <s v="Simmons-Reynolds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s v="theater/plays"/>
    <x v="3"/>
    <x v="3"/>
  </r>
  <r>
    <s v="Collier Inc"/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s v="theater/plays"/>
    <x v="3"/>
    <x v="3"/>
  </r>
  <r>
    <s v="Gray-Jenkins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s v="film &amp; video/documentary"/>
    <x v="4"/>
    <x v="4"/>
  </r>
  <r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s v="technology/wearables"/>
    <x v="2"/>
    <x v="8"/>
  </r>
  <r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s v="games/video games"/>
    <x v="6"/>
    <x v="11"/>
  </r>
  <r>
    <s v="Spencer-Bates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s v="theater/plays"/>
    <x v="3"/>
    <x v="3"/>
  </r>
  <r>
    <s v="Best, Carr and Williams"/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s v="music/rock"/>
    <x v="1"/>
    <x v="1"/>
  </r>
  <r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s v="theater/plays"/>
    <x v="3"/>
    <x v="3"/>
  </r>
  <r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s v="film &amp; video/shorts"/>
    <x v="4"/>
    <x v="12"/>
  </r>
  <r>
    <s v="Clark-Cooke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s v="film &amp; video/animation"/>
    <x v="4"/>
    <x v="10"/>
  </r>
  <r>
    <s v="Schroeder Ltd"/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s v="games/video games"/>
    <x v="6"/>
    <x v="11"/>
  </r>
  <r>
    <s v="Jackson PLC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s v="film &amp; video/documentary"/>
    <x v="4"/>
    <x v="4"/>
  </r>
  <r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s v="theater/plays"/>
    <x v="3"/>
    <x v="3"/>
  </r>
  <r>
    <s v="Maldonado and Sons"/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s v="film &amp; video/documentary"/>
    <x v="4"/>
    <x v="4"/>
  </r>
  <r>
    <s v="Mitchell and Sons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s v="film &amp; video/drama"/>
    <x v="4"/>
    <x v="6"/>
  </r>
  <r>
    <s v="Jackson-Lewis"/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s v="theater/plays"/>
    <x v="3"/>
    <x v="3"/>
  </r>
  <r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s v="publishing/fiction"/>
    <x v="5"/>
    <x v="13"/>
  </r>
  <r>
    <s v="Maldonado-Gonzalez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s v="photography/photography books"/>
    <x v="7"/>
    <x v="14"/>
  </r>
  <r>
    <s v="Kim-Rice"/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s v="theater/plays"/>
    <x v="3"/>
    <x v="3"/>
  </r>
  <r>
    <s v="Garcia, Garcia and Lopez"/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s v="technology/wearables"/>
    <x v="2"/>
    <x v="8"/>
  </r>
  <r>
    <s v="Watts Group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s v="music/rock"/>
    <x v="1"/>
    <x v="1"/>
  </r>
  <r>
    <s v="Werner-Bryant"/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s v="food/food trucks"/>
    <x v="0"/>
    <x v="0"/>
  </r>
  <r>
    <s v="Schmitt-Mendoza"/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s v="Reid-Mccullough"/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s v="publishing/fiction"/>
    <x v="5"/>
    <x v="13"/>
  </r>
  <r>
    <s v="Woods-Clark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s v="theater/plays"/>
    <x v="3"/>
    <x v="3"/>
  </r>
  <r>
    <s v="Vaughn, Hunt and Caldwell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s v="music/rock"/>
    <x v="1"/>
    <x v="1"/>
  </r>
  <r>
    <s v="Bennett and Sons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s v="theater/plays"/>
    <x v="3"/>
    <x v="3"/>
  </r>
  <r>
    <s v="Lamb Inc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s v="theater/plays"/>
    <x v="3"/>
    <x v="3"/>
  </r>
  <r>
    <s v="Casey-Kelly"/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s v="music/rock"/>
    <x v="1"/>
    <x v="1"/>
  </r>
  <r>
    <s v="Jones, Taylor and Moore"/>
    <s v="Down-sized system-worthy secured line"/>
    <n v="100"/>
    <n v="2"/>
    <n v="0.02"/>
    <x v="0"/>
    <n v="1"/>
    <n v="2"/>
    <x v="6"/>
    <s v="EUR"/>
    <n v="1375333200"/>
    <n v="1377752400"/>
    <b v="0"/>
    <b v="0"/>
    <s v="music/metal"/>
    <x v="1"/>
    <x v="16"/>
  </r>
  <r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s v="technology/wearables"/>
    <x v="2"/>
    <x v="8"/>
  </r>
  <r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s v="theater/plays"/>
    <x v="3"/>
    <x v="3"/>
  </r>
  <r>
    <s v="Smith-Jones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s v="film &amp; video/drama"/>
    <x v="4"/>
    <x v="6"/>
  </r>
  <r>
    <s v="Roy PLC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s v="technology/wearables"/>
    <x v="2"/>
    <x v="8"/>
  </r>
  <r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s v="music/jazz"/>
    <x v="1"/>
    <x v="17"/>
  </r>
  <r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s v="technology/wearables"/>
    <x v="2"/>
    <x v="8"/>
  </r>
  <r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s v="games/video games"/>
    <x v="6"/>
    <x v="11"/>
  </r>
  <r>
    <s v="Anderson-Perez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s v="theater/plays"/>
    <x v="3"/>
    <x v="3"/>
  </r>
  <r>
    <s v="Wright, Fox and Marks"/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s v="theater/plays"/>
    <x v="3"/>
    <x v="3"/>
  </r>
  <r>
    <s v="Crawford-Peters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s v="theater/plays"/>
    <x v="3"/>
    <x v="3"/>
  </r>
  <r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s v="theater/plays"/>
    <x v="3"/>
    <x v="3"/>
  </r>
  <r>
    <s v="Sparks-West"/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s v="technology/web"/>
    <x v="2"/>
    <x v="2"/>
  </r>
  <r>
    <s v="Baker, Morgan and Brown"/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s v="theater/plays"/>
    <x v="3"/>
    <x v="3"/>
  </r>
  <r>
    <s v="Mosley-Gilbert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s v="technology/web"/>
    <x v="2"/>
    <x v="2"/>
  </r>
  <r>
    <s v="Berry-Boyer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s v="theater/plays"/>
    <x v="3"/>
    <x v="3"/>
  </r>
  <r>
    <s v="Sanders-Allen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s v="theater/plays"/>
    <x v="3"/>
    <x v="3"/>
  </r>
  <r>
    <s v="Lopez Inc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s v="technology/wearables"/>
    <x v="2"/>
    <x v="8"/>
  </r>
  <r>
    <s v="Moreno-Turner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s v="theater/plays"/>
    <x v="3"/>
    <x v="3"/>
  </r>
  <r>
    <s v="Jones-Watson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s v="theater/plays"/>
    <x v="3"/>
    <x v="3"/>
  </r>
  <r>
    <s v="Barker Inc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s v="theater/plays"/>
    <x v="3"/>
    <x v="3"/>
  </r>
  <r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s v="theater/plays"/>
    <x v="3"/>
    <x v="3"/>
  </r>
  <r>
    <s v="Hampton, Lewis and Ray"/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s v="film &amp; video/animation"/>
    <x v="4"/>
    <x v="10"/>
  </r>
  <r>
    <s v="Collins-Goodman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s v="music/jazz"/>
    <x v="1"/>
    <x v="17"/>
  </r>
  <r>
    <s v="Davis-Michael"/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s v="music/metal"/>
    <x v="1"/>
    <x v="16"/>
  </r>
  <r>
    <s v="White, Torres and Bishop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s v="theater/plays"/>
    <x v="3"/>
    <x v="3"/>
  </r>
  <r>
    <s v="Acevedo-Huffman"/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s v="film &amp; video/animation"/>
    <x v="4"/>
    <x v="10"/>
  </r>
  <r>
    <s v="Montgomery, Larson and Spencer"/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s v="publishing/translations"/>
    <x v="5"/>
    <x v="18"/>
  </r>
  <r>
    <s v="Soto LLC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s v="theater/plays"/>
    <x v="3"/>
    <x v="3"/>
  </r>
  <r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s v="games/video games"/>
    <x v="6"/>
    <x v="11"/>
  </r>
  <r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s v="music/rock"/>
    <x v="1"/>
    <x v="1"/>
  </r>
  <r>
    <s v="Porter-George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s v="games/video games"/>
    <x v="6"/>
    <x v="11"/>
  </r>
  <r>
    <s v="Fitzgerald PLC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s v="music/electric music"/>
    <x v="1"/>
    <x v="5"/>
  </r>
  <r>
    <s v="Cisneros-Burton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s v="technology/wearables"/>
    <x v="2"/>
    <x v="8"/>
  </r>
  <r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s v="music/indie rock"/>
    <x v="1"/>
    <x v="7"/>
  </r>
  <r>
    <s v="Davis-Smith"/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s v="theater/plays"/>
    <x v="3"/>
    <x v="3"/>
  </r>
  <r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s v="music/rock"/>
    <x v="1"/>
    <x v="1"/>
  </r>
  <r>
    <s v="Clark Group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s v="publishing/translations"/>
    <x v="5"/>
    <x v="18"/>
  </r>
  <r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s v="theater/plays"/>
    <x v="3"/>
    <x v="3"/>
  </r>
  <r>
    <s v="Kramer Group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s v="theater/plays"/>
    <x v="3"/>
    <x v="3"/>
  </r>
  <r>
    <s v="Frazier, Patrick and Smith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s v="publishing/translations"/>
    <x v="5"/>
    <x v="18"/>
  </r>
  <r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s v="games/video games"/>
    <x v="6"/>
    <x v="11"/>
  </r>
  <r>
    <s v="Hall and Sons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s v="theater/plays"/>
    <x v="3"/>
    <x v="3"/>
  </r>
  <r>
    <s v="Hanson Inc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s v="technology/web"/>
    <x v="2"/>
    <x v="2"/>
  </r>
  <r>
    <s v="Sanchez LLC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s v="Howard Ltd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s v="theater/plays"/>
    <x v="3"/>
    <x v="3"/>
  </r>
  <r>
    <s v="Stewart LLC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s v="food/food trucks"/>
    <x v="0"/>
    <x v="0"/>
  </r>
  <r>
    <s v="Arias, Allen and Miller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s v="games/video games"/>
    <x v="6"/>
    <x v="11"/>
  </r>
  <r>
    <s v="Baker-Morris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s v="theater/plays"/>
    <x v="3"/>
    <x v="3"/>
  </r>
  <r>
    <s v="Tucker, Fox and Green"/>
    <s v="Upgradable fault-tolerant approach"/>
    <n v="100"/>
    <n v="1"/>
    <n v="0.01"/>
    <x v="0"/>
    <n v="1"/>
    <n v="1"/>
    <x v="1"/>
    <s v="USD"/>
    <n v="1319000400"/>
    <n v="1320555600"/>
    <b v="0"/>
    <b v="0"/>
    <s v="theater/plays"/>
    <x v="3"/>
    <x v="3"/>
  </r>
  <r>
    <s v="Douglas LLC"/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s v="music/electric music"/>
    <x v="1"/>
    <x v="5"/>
  </r>
  <r>
    <s v="Garcia Inc"/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s v="technology/wearables"/>
    <x v="2"/>
    <x v="8"/>
  </r>
  <r>
    <s v="Frye, Hunt and Powell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s v="music/electric music"/>
    <x v="1"/>
    <x v="5"/>
  </r>
  <r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s v="music/indie rock"/>
    <x v="1"/>
    <x v="7"/>
  </r>
  <r>
    <s v="Charles-Johnson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s v="technology/web"/>
    <x v="2"/>
    <x v="2"/>
  </r>
  <r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s v="theater/plays"/>
    <x v="3"/>
    <x v="3"/>
  </r>
  <r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s v="theater/plays"/>
    <x v="3"/>
    <x v="3"/>
  </r>
  <r>
    <s v="Decker Inc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s v="film &amp; video/documentary"/>
    <x v="4"/>
    <x v="4"/>
  </r>
  <r>
    <s v="Romero and Sons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s v="food/food trucks"/>
    <x v="0"/>
    <x v="0"/>
  </r>
  <r>
    <s v="Hart-Briggs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s v="publishing/radio &amp; podcasts"/>
    <x v="5"/>
    <x v="15"/>
  </r>
  <r>
    <s v="Jones-Meyer"/>
    <s v="Re-engineered client-driven hub"/>
    <n v="4700"/>
    <n v="12635"/>
    <n v="2.6882978723404256"/>
    <x v="1"/>
    <n v="361"/>
    <n v="35"/>
    <x v="2"/>
    <s v="AUD"/>
    <n v="1408856400"/>
    <n v="1410152400"/>
    <b v="0"/>
    <b v="0"/>
    <s v="technology/web"/>
    <x v="2"/>
    <x v="2"/>
  </r>
  <r>
    <s v="Wright, Hartman and Yu"/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s v="food/food trucks"/>
    <x v="0"/>
    <x v="0"/>
  </r>
  <r>
    <s v="Harper-Davis"/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s v="technology/wearables"/>
    <x v="2"/>
    <x v="8"/>
  </r>
  <r>
    <s v="Barrett PLC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s v="publishing/fiction"/>
    <x v="5"/>
    <x v="13"/>
  </r>
  <r>
    <s v="David-Clark"/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s v="theater/plays"/>
    <x v="3"/>
    <x v="3"/>
  </r>
  <r>
    <s v="Chaney-Dennis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s v="film &amp; video/television"/>
    <x v="4"/>
    <x v="19"/>
  </r>
  <r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s v="Clark and Sons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s v="film &amp; video/documentary"/>
    <x v="4"/>
    <x v="4"/>
  </r>
  <r>
    <s v="Vega Group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s v="games/mobile games"/>
    <x v="6"/>
    <x v="20"/>
  </r>
  <r>
    <s v="Brown-Brown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s v="games/video games"/>
    <x v="6"/>
    <x v="11"/>
  </r>
  <r>
    <s v="Taylor PLC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s v="publishing/fiction"/>
    <x v="5"/>
    <x v="13"/>
  </r>
  <r>
    <s v="Edwards-Lewis"/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s v="theater/plays"/>
    <x v="3"/>
    <x v="3"/>
  </r>
  <r>
    <s v="Stanton, Neal and Rodriguez"/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s v="photography/photography books"/>
    <x v="7"/>
    <x v="14"/>
  </r>
  <r>
    <s v="Pratt LLC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s v="theater/plays"/>
    <x v="3"/>
    <x v="3"/>
  </r>
  <r>
    <s v="Gross PLC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s v="theater/plays"/>
    <x v="3"/>
    <x v="3"/>
  </r>
  <r>
    <s v="Martinez, Gomez and Dalton"/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s v="theater/plays"/>
    <x v="3"/>
    <x v="3"/>
  </r>
  <r>
    <s v="Allen-Curtis"/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s v="music/rock"/>
    <x v="1"/>
    <x v="1"/>
  </r>
  <r>
    <s v="Morgan-Martinez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s v="food/food trucks"/>
    <x v="0"/>
    <x v="0"/>
  </r>
  <r>
    <s v="Luna, Anderson and Fox"/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s v="film &amp; video/drama"/>
    <x v="4"/>
    <x v="6"/>
  </r>
  <r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s v="technology/web"/>
    <x v="2"/>
    <x v="2"/>
  </r>
  <r>
    <s v="Flowers and Sons"/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s v="theater/plays"/>
    <x v="3"/>
    <x v="3"/>
  </r>
  <r>
    <s v="Gates PLC"/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s v="music/world music"/>
    <x v="1"/>
    <x v="21"/>
  </r>
  <r>
    <s v="Caldwell LLC"/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s v="film &amp; video/documentary"/>
    <x v="4"/>
    <x v="4"/>
  </r>
  <r>
    <s v="Le, Burton and Evans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s v="theater/plays"/>
    <x v="3"/>
    <x v="3"/>
  </r>
  <r>
    <s v="Briggs PLC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s v="film &amp; video/drama"/>
    <x v="4"/>
    <x v="6"/>
  </r>
  <r>
    <s v="Hudson-Nguyen"/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s v="publishing/nonfiction"/>
    <x v="5"/>
    <x v="9"/>
  </r>
  <r>
    <s v="Hogan Ltd"/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s v="games/mobile games"/>
    <x v="6"/>
    <x v="20"/>
  </r>
  <r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s v="technology/wearables"/>
    <x v="2"/>
    <x v="8"/>
  </r>
  <r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s v="Jackson LLC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s v="technology/web"/>
    <x v="2"/>
    <x v="2"/>
  </r>
  <r>
    <s v="Figueroa Ltd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s v="technology/web"/>
    <x v="2"/>
    <x v="2"/>
  </r>
  <r>
    <s v="Avila-Jones"/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s v="music/indie rock"/>
    <x v="1"/>
    <x v="7"/>
  </r>
  <r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s v="theater/plays"/>
    <x v="3"/>
    <x v="3"/>
  </r>
  <r>
    <s v="Fields-Moore"/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s v="technology/wearables"/>
    <x v="2"/>
    <x v="8"/>
  </r>
  <r>
    <s v="Harris-Golden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s v="theater/plays"/>
    <x v="3"/>
    <x v="3"/>
  </r>
  <r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s v="theater/plays"/>
    <x v="3"/>
    <x v="3"/>
  </r>
  <r>
    <s v="White, Larson and Wright"/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s v="technology/wearables"/>
    <x v="2"/>
    <x v="8"/>
  </r>
  <r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s v="music/indie rock"/>
    <x v="1"/>
    <x v="7"/>
  </r>
  <r>
    <s v="Brown, Palmer and Pace"/>
    <s v="Networked stable workforce"/>
    <n v="100"/>
    <n v="1"/>
    <n v="0.01"/>
    <x v="0"/>
    <n v="1"/>
    <n v="1"/>
    <x v="1"/>
    <s v="USD"/>
    <n v="1544940000"/>
    <n v="1545026400"/>
    <b v="0"/>
    <b v="0"/>
    <s v="music/rock"/>
    <x v="1"/>
    <x v="1"/>
  </r>
  <r>
    <s v="Parker LLC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s v="music/electric music"/>
    <x v="1"/>
    <x v="5"/>
  </r>
  <r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s v="music/indie rock"/>
    <x v="1"/>
    <x v="7"/>
  </r>
  <r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s v="theater/plays"/>
    <x v="3"/>
    <x v="3"/>
  </r>
  <r>
    <s v="Rodriguez-Brown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s v="music/indie rock"/>
    <x v="1"/>
    <x v="7"/>
  </r>
  <r>
    <s v="Hall-Schaefer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s v="theater/plays"/>
    <x v="3"/>
    <x v="3"/>
  </r>
  <r>
    <s v="Meza-Rogers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s v="music/rock"/>
    <x v="1"/>
    <x v="1"/>
  </r>
  <r>
    <s v="Curtis-Curtis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s v="photography/photography books"/>
    <x v="7"/>
    <x v="14"/>
  </r>
  <r>
    <s v="Carlson Inc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s v="music/rock"/>
    <x v="1"/>
    <x v="1"/>
  </r>
  <r>
    <s v="Clarke, Anderson and Lee"/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s v="theater/plays"/>
    <x v="3"/>
    <x v="3"/>
  </r>
  <r>
    <s v="Evans Group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s v="technology/wearables"/>
    <x v="2"/>
    <x v="8"/>
  </r>
  <r>
    <s v="Bruce Group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s v="technology/web"/>
    <x v="2"/>
    <x v="2"/>
  </r>
  <r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s v="music/rock"/>
    <x v="1"/>
    <x v="1"/>
  </r>
  <r>
    <s v="Burton-Watkins"/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s v="photography/photography books"/>
    <x v="7"/>
    <x v="14"/>
  </r>
  <r>
    <s v="Lopez and Sons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s v="theater/plays"/>
    <x v="3"/>
    <x v="3"/>
  </r>
  <r>
    <s v="Cordova Ltd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s v="technology/web"/>
    <x v="2"/>
    <x v="2"/>
  </r>
  <r>
    <s v="Brown-Vang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s v="Cruz-Ward"/>
    <s v="Robust content-based emulation"/>
    <n v="2600"/>
    <n v="10804"/>
    <n v="4.155384615384615"/>
    <x v="1"/>
    <n v="146"/>
    <n v="74"/>
    <x v="2"/>
    <s v="AUD"/>
    <n v="1370840400"/>
    <n v="1371704400"/>
    <b v="0"/>
    <b v="0"/>
    <s v="theater/plays"/>
    <x v="3"/>
    <x v="3"/>
  </r>
  <r>
    <s v="Hernandez Group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s v="music/indie rock"/>
    <x v="1"/>
    <x v="7"/>
  </r>
  <r>
    <s v="Tran, Steele and Wilson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s v="film &amp; video/shorts"/>
    <x v="4"/>
    <x v="12"/>
  </r>
  <r>
    <s v="Summers, Gallegos and Stein"/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s v="music/indie rock"/>
    <x v="1"/>
    <x v="7"/>
  </r>
  <r>
    <s v="Blair Group"/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s v="publishing/translations"/>
    <x v="5"/>
    <x v="18"/>
  </r>
  <r>
    <s v="Nixon Inc"/>
    <s v="Centralized national firmware"/>
    <n v="800"/>
    <n v="663"/>
    <n v="0.82874999999999999"/>
    <x v="0"/>
    <n v="26"/>
    <n v="25.5"/>
    <x v="1"/>
    <s v="USD"/>
    <n v="1405746000"/>
    <n v="1407042000"/>
    <b v="0"/>
    <b v="1"/>
    <s v="film &amp; video/documentary"/>
    <x v="4"/>
    <x v="4"/>
  </r>
  <r>
    <s v="White LLC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s v="theater/plays"/>
    <x v="3"/>
    <x v="3"/>
  </r>
  <r>
    <s v="Santos, Black and Donovan"/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s v="technology/wearables"/>
    <x v="2"/>
    <x v="8"/>
  </r>
  <r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s v="theater/plays"/>
    <x v="3"/>
    <x v="3"/>
  </r>
  <r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s v="theater/plays"/>
    <x v="3"/>
    <x v="3"/>
  </r>
  <r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s v="theater/plays"/>
    <x v="3"/>
    <x v="3"/>
  </r>
  <r>
    <s v="Alexander-Williams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s v="food/food trucks"/>
    <x v="0"/>
    <x v="0"/>
  </r>
  <r>
    <s v="Marks Ltd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s v="theater/plays"/>
    <x v="3"/>
    <x v="3"/>
  </r>
  <r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s v="technology/wearables"/>
    <x v="2"/>
    <x v="8"/>
  </r>
  <r>
    <s v="Daniels, Rose and Tyler"/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s v="technology/web"/>
    <x v="2"/>
    <x v="2"/>
  </r>
  <r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s v="theater/plays"/>
    <x v="3"/>
    <x v="3"/>
  </r>
  <r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s v="music/rock"/>
    <x v="1"/>
    <x v="1"/>
  </r>
  <r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s v="theater/plays"/>
    <x v="3"/>
    <x v="3"/>
  </r>
  <r>
    <s v="Bailey PLC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s v="film &amp; video/television"/>
    <x v="4"/>
    <x v="19"/>
  </r>
  <r>
    <s v="Parker Group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s v="theater/plays"/>
    <x v="3"/>
    <x v="3"/>
  </r>
  <r>
    <s v="Fox Group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s v="film &amp; video/shorts"/>
    <x v="4"/>
    <x v="12"/>
  </r>
  <r>
    <s v="Walker, Jones and Rodriguez"/>
    <s v="Networked didactic info-mediaries"/>
    <n v="8200"/>
    <n v="2625"/>
    <n v="0.3201219512195122"/>
    <x v="0"/>
    <n v="35"/>
    <n v="75"/>
    <x v="6"/>
    <s v="EUR"/>
    <n v="1417500000"/>
    <n v="1417586400"/>
    <b v="0"/>
    <b v="0"/>
    <s v="theater/plays"/>
    <x v="3"/>
    <x v="3"/>
  </r>
  <r>
    <s v="Anthony-Shaw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s v="theater/plays"/>
    <x v="3"/>
    <x v="3"/>
  </r>
  <r>
    <s v="Cook LLC"/>
    <s v="Up-sized dynamic throughput"/>
    <n v="3700"/>
    <n v="2538"/>
    <n v="0.68594594594594593"/>
    <x v="0"/>
    <n v="24"/>
    <n v="105.75"/>
    <x v="1"/>
    <s v="USD"/>
    <n v="1370322000"/>
    <n v="1370408400"/>
    <b v="0"/>
    <b v="1"/>
    <s v="theater/plays"/>
    <x v="3"/>
    <x v="3"/>
  </r>
  <r>
    <s v="Sutton PLC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s v="theater/plays"/>
    <x v="3"/>
    <x v="3"/>
  </r>
  <r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s v="music/rock"/>
    <x v="1"/>
    <x v="1"/>
  </r>
  <r>
    <s v="Calhoun, Rogers and Long"/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s v="music/indie rock"/>
    <x v="1"/>
    <x v="7"/>
  </r>
  <r>
    <s v="Sandoval Group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s v="music/metal"/>
    <x v="1"/>
    <x v="16"/>
  </r>
  <r>
    <s v="Smith and Sons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s v="music/electric music"/>
    <x v="1"/>
    <x v="5"/>
  </r>
  <r>
    <s v="King Inc"/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s v="technology/wearables"/>
    <x v="2"/>
    <x v="8"/>
  </r>
  <r>
    <s v="Perry and Sons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s v="film &amp; video/drama"/>
    <x v="4"/>
    <x v="6"/>
  </r>
  <r>
    <s v="Palmer Inc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s v="music/electric music"/>
    <x v="1"/>
    <x v="5"/>
  </r>
  <r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s v="music/rock"/>
    <x v="1"/>
    <x v="1"/>
  </r>
  <r>
    <s v="Becker, Rice and White"/>
    <s v="Reduced dedicated capability"/>
    <n v="100"/>
    <n v="2"/>
    <n v="0.02"/>
    <x v="0"/>
    <n v="1"/>
    <n v="2"/>
    <x v="0"/>
    <s v="CAD"/>
    <n v="1269493200"/>
    <n v="1270443600"/>
    <b v="0"/>
    <b v="0"/>
    <s v="theater/plays"/>
    <x v="3"/>
    <x v="3"/>
  </r>
  <r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s v="technology/web"/>
    <x v="2"/>
    <x v="2"/>
  </r>
  <r>
    <s v="Mcknight-Freeman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s v="food/food trucks"/>
    <x v="0"/>
    <x v="0"/>
  </r>
  <r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s v="theater/plays"/>
    <x v="3"/>
    <x v="3"/>
  </r>
  <r>
    <s v="Daniel-Luna"/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s v="music/jazz"/>
    <x v="1"/>
    <x v="17"/>
  </r>
  <r>
    <s v="Weaver-Marquez"/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s v="theater/plays"/>
    <x v="3"/>
    <x v="3"/>
  </r>
  <r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s v="publishing/fiction"/>
    <x v="5"/>
    <x v="13"/>
  </r>
  <r>
    <s v="Carney-Anderson"/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s v="music/rock"/>
    <x v="1"/>
    <x v="1"/>
  </r>
  <r>
    <s v="Jackson Inc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s v="film &amp; video/documentary"/>
    <x v="4"/>
    <x v="4"/>
  </r>
  <r>
    <s v="Warren Ltd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s v="film &amp; video/documentary"/>
    <x v="4"/>
    <x v="4"/>
  </r>
  <r>
    <s v="Schultz Inc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s v="film &amp; video/science fiction"/>
    <x v="4"/>
    <x v="22"/>
  </r>
  <r>
    <s v="Thompson LLC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s v="theater/plays"/>
    <x v="3"/>
    <x v="3"/>
  </r>
  <r>
    <s v="Johnson Inc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s v="theater/plays"/>
    <x v="3"/>
    <x v="3"/>
  </r>
  <r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s v="music/indie rock"/>
    <x v="1"/>
    <x v="7"/>
  </r>
  <r>
    <s v="Sullivan Group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s v="music/rock"/>
    <x v="1"/>
    <x v="1"/>
  </r>
  <r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s v="theater/plays"/>
    <x v="3"/>
    <x v="3"/>
  </r>
  <r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s v="theater/plays"/>
    <x v="3"/>
    <x v="3"/>
  </r>
  <r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s v="film &amp; video/science fiction"/>
    <x v="4"/>
    <x v="22"/>
  </r>
  <r>
    <s v="Price-Rodriguez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s v="film &amp; video/shorts"/>
    <x v="4"/>
    <x v="12"/>
  </r>
  <r>
    <s v="Huang-Henderson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s v="film &amp; video/animation"/>
    <x v="4"/>
    <x v="10"/>
  </r>
  <r>
    <s v="Owens-Le"/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s v="theater/plays"/>
    <x v="3"/>
    <x v="3"/>
  </r>
  <r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s v="food/food trucks"/>
    <x v="0"/>
    <x v="0"/>
  </r>
  <r>
    <s v="Johnson LLC"/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s v="photography/photography books"/>
    <x v="7"/>
    <x v="14"/>
  </r>
  <r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s v="theater/plays"/>
    <x v="3"/>
    <x v="3"/>
  </r>
  <r>
    <s v="Lester-Moore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s v="film &amp; video/science fiction"/>
    <x v="4"/>
    <x v="22"/>
  </r>
  <r>
    <s v="Fox-Quinn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s v="music/rock"/>
    <x v="1"/>
    <x v="1"/>
  </r>
  <r>
    <s v="Garcia Inc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s v="photography/photography books"/>
    <x v="7"/>
    <x v="14"/>
  </r>
  <r>
    <s v="Johnson-Lee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s v="games/mobile games"/>
    <x v="6"/>
    <x v="20"/>
  </r>
  <r>
    <s v="Pineda Group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s v="Hoffman-Howard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s v="games/mobile games"/>
    <x v="6"/>
    <x v="20"/>
  </r>
  <r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s v="games/video games"/>
    <x v="6"/>
    <x v="11"/>
  </r>
  <r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s v="theater/plays"/>
    <x v="3"/>
    <x v="3"/>
  </r>
  <r>
    <s v="Davis-Rodriguez"/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s v="theater/plays"/>
    <x v="3"/>
    <x v="3"/>
  </r>
  <r>
    <s v="Reid, Rivera and Perry"/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s v="film &amp; video/animation"/>
    <x v="4"/>
    <x v="10"/>
  </r>
  <r>
    <s v="Mendoza-Parker"/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s v="games/video games"/>
    <x v="6"/>
    <x v="11"/>
  </r>
  <r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s v="Gallegos-Cobb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s v="music/rock"/>
    <x v="1"/>
    <x v="1"/>
  </r>
  <r>
    <s v="Ellison PLC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s v="Bolton, Sanchez and Carrillo"/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s v="theater/plays"/>
    <x v="3"/>
    <x v="3"/>
  </r>
  <r>
    <s v="Mason-Sanders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s v="technology/wearables"/>
    <x v="2"/>
    <x v="8"/>
  </r>
  <r>
    <s v="Pitts-Reed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s v="theater/plays"/>
    <x v="3"/>
    <x v="3"/>
  </r>
  <r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s v="publishing/nonfiction"/>
    <x v="5"/>
    <x v="9"/>
  </r>
  <r>
    <s v="Hill, Martin and Garcia"/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s v="music/rock"/>
    <x v="1"/>
    <x v="1"/>
  </r>
  <r>
    <s v="Garcia PLC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s v="theater/plays"/>
    <x v="3"/>
    <x v="3"/>
  </r>
  <r>
    <s v="Herring-Bailey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s v="theater/plays"/>
    <x v="3"/>
    <x v="3"/>
  </r>
  <r>
    <s v="Russell-Gardner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s v="theater/plays"/>
    <x v="3"/>
    <x v="3"/>
  </r>
  <r>
    <s v="Walters-Carter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s v="technology/web"/>
    <x v="2"/>
    <x v="2"/>
  </r>
  <r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s v="publishing/fiction"/>
    <x v="5"/>
    <x v="13"/>
  </r>
  <r>
    <s v="Roberts and Sons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s v="games/mobile games"/>
    <x v="6"/>
    <x v="20"/>
  </r>
  <r>
    <s v="Avila-Nelson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s v="publishing/translations"/>
    <x v="5"/>
    <x v="18"/>
  </r>
  <r>
    <s v="Robbins and Sons"/>
    <s v="Future-proofed directional synergy"/>
    <n v="100"/>
    <n v="3"/>
    <n v="0.03"/>
    <x v="0"/>
    <n v="1"/>
    <n v="3"/>
    <x v="1"/>
    <s v="USD"/>
    <n v="1264399200"/>
    <n v="1267423200"/>
    <b v="0"/>
    <b v="0"/>
    <s v="music/rock"/>
    <x v="1"/>
    <x v="1"/>
  </r>
  <r>
    <s v="Singleton Ltd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s v="theater/plays"/>
    <x v="3"/>
    <x v="3"/>
  </r>
  <r>
    <s v="Perez PLC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s v="theater/plays"/>
    <x v="3"/>
    <x v="3"/>
  </r>
  <r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s v="film &amp; video/drama"/>
    <x v="4"/>
    <x v="6"/>
  </r>
  <r>
    <s v="Barry Group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s v="publishing/nonfiction"/>
    <x v="5"/>
    <x v="9"/>
  </r>
  <r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s v="music/rock"/>
    <x v="1"/>
    <x v="1"/>
  </r>
  <r>
    <s v="Smith-Reid"/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s v="music/rock"/>
    <x v="1"/>
    <x v="1"/>
  </r>
  <r>
    <s v="Williams Inc"/>
    <s v="Decentralized exuding strategy"/>
    <n v="5700"/>
    <n v="8322"/>
    <n v="1.46"/>
    <x v="1"/>
    <n v="92"/>
    <n v="90.456521739130437"/>
    <x v="1"/>
    <s v="USD"/>
    <n v="1362463200"/>
    <n v="1363669200"/>
    <b v="0"/>
    <b v="0"/>
    <s v="theater/plays"/>
    <x v="3"/>
    <x v="3"/>
  </r>
  <r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s v="theater/plays"/>
    <x v="3"/>
    <x v="3"/>
  </r>
  <r>
    <s v="Watkins Ltd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s v="photography/photography books"/>
    <x v="7"/>
    <x v="14"/>
  </r>
  <r>
    <s v="Allen-Jones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s v="music/rock"/>
    <x v="1"/>
    <x v="1"/>
  </r>
  <r>
    <s v="Mason-Smith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s v="music/rock"/>
    <x v="1"/>
    <x v="1"/>
  </r>
  <r>
    <s v="Lloyd, Kennedy and Davis"/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s v="music/indie rock"/>
    <x v="1"/>
    <x v="7"/>
  </r>
  <r>
    <s v="Walker Ltd"/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s v="Gordon PLC"/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s v="theater/plays"/>
    <x v="3"/>
    <x v="3"/>
  </r>
  <r>
    <s v="Lee and Sons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s v="theater/plays"/>
    <x v="3"/>
    <x v="3"/>
  </r>
  <r>
    <s v="Cole LLC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s v="music/jazz"/>
    <x v="1"/>
    <x v="17"/>
  </r>
  <r>
    <s v="Acosta PLC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s v="theater/plays"/>
    <x v="3"/>
    <x v="3"/>
  </r>
  <r>
    <s v="Brown-Mckee"/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s v="film &amp; video/documentary"/>
    <x v="4"/>
    <x v="4"/>
  </r>
  <r>
    <s v="Miles and Sons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s v="film &amp; video/television"/>
    <x v="4"/>
    <x v="19"/>
  </r>
  <r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s v="games/video games"/>
    <x v="6"/>
    <x v="11"/>
  </r>
  <r>
    <s v="Foley-Cox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s v="photography/photography books"/>
    <x v="7"/>
    <x v="14"/>
  </r>
  <r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s v="theater/plays"/>
    <x v="3"/>
    <x v="3"/>
  </r>
  <r>
    <s v="Thomas and Sons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s v="theater/plays"/>
    <x v="3"/>
    <x v="3"/>
  </r>
  <r>
    <s v="Morgan-Jenkins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s v="theater/plays"/>
    <x v="3"/>
    <x v="3"/>
  </r>
  <r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s v="publishing/translations"/>
    <x v="5"/>
    <x v="18"/>
  </r>
  <r>
    <s v="Fields Ltd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s v="games/video games"/>
    <x v="6"/>
    <x v="11"/>
  </r>
  <r>
    <s v="Ramos-Mitchell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s v="theater/plays"/>
    <x v="3"/>
    <x v="3"/>
  </r>
  <r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s v="technology/web"/>
    <x v="2"/>
    <x v="2"/>
  </r>
  <r>
    <s v="Smith-Jenkins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s v="theater/plays"/>
    <x v="3"/>
    <x v="3"/>
  </r>
  <r>
    <s v="Braun PLC"/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s v="film &amp; video/animation"/>
    <x v="4"/>
    <x v="10"/>
  </r>
  <r>
    <s v="Drake PLC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s v="theater/plays"/>
    <x v="3"/>
    <x v="3"/>
  </r>
  <r>
    <s v="Ross, Kelly and Brown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s v="Lucas-Mullins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s v="music/rock"/>
    <x v="1"/>
    <x v="1"/>
  </r>
  <r>
    <s v="Tran LLC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s v="technology/web"/>
    <x v="2"/>
    <x v="2"/>
  </r>
  <r>
    <s v="Dawson, Brady and Gilbert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s v="theater/plays"/>
    <x v="3"/>
    <x v="3"/>
  </r>
  <r>
    <s v="Obrien-Aguirre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s v="theater/plays"/>
    <x v="3"/>
    <x v="3"/>
  </r>
  <r>
    <s v="Ferguson PLC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s v="music/electric music"/>
    <x v="1"/>
    <x v="5"/>
  </r>
  <r>
    <s v="Garcia Ltd"/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s v="music/metal"/>
    <x v="1"/>
    <x v="16"/>
  </r>
  <r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s v="theater/plays"/>
    <x v="3"/>
    <x v="3"/>
  </r>
  <r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s v="film &amp; video/documentary"/>
    <x v="4"/>
    <x v="4"/>
  </r>
  <r>
    <s v="Bell, Grimes and Kerr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s v="technology/web"/>
    <x v="2"/>
    <x v="2"/>
  </r>
  <r>
    <s v="Ho-Harris"/>
    <s v="Versatile cohesive encoding"/>
    <n v="7300"/>
    <n v="717"/>
    <n v="9.8219178082191785E-2"/>
    <x v="0"/>
    <n v="10"/>
    <n v="71.7"/>
    <x v="1"/>
    <s v="USD"/>
    <n v="1331874000"/>
    <n v="1333429200"/>
    <b v="0"/>
    <b v="0"/>
    <s v="food/food trucks"/>
    <x v="0"/>
    <x v="0"/>
  </r>
  <r>
    <s v="Ross Group"/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s v="theater/plays"/>
    <x v="3"/>
    <x v="3"/>
  </r>
  <r>
    <s v="Turner-Davis"/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s v="theater/plays"/>
    <x v="3"/>
    <x v="3"/>
  </r>
  <r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s v="theater/plays"/>
    <x v="3"/>
    <x v="3"/>
  </r>
  <r>
    <s v="Smith-Hess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s v="theater/plays"/>
    <x v="3"/>
    <x v="3"/>
  </r>
  <r>
    <s v="Brown, Herring and Bass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s v="theater/plays"/>
    <x v="3"/>
    <x v="3"/>
  </r>
  <r>
    <s v="Chase, Garcia and Johnson"/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s v="music/rock"/>
    <x v="1"/>
    <x v="1"/>
  </r>
  <r>
    <s v="Ramsey and Sons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s v="food/food trucks"/>
    <x v="0"/>
    <x v="0"/>
  </r>
  <r>
    <s v="Cooke PLC"/>
    <s v="Focused executive core"/>
    <n v="100"/>
    <n v="5"/>
    <n v="0.05"/>
    <x v="0"/>
    <n v="1"/>
    <n v="5"/>
    <x v="3"/>
    <s v="DKK"/>
    <n v="1504069200"/>
    <n v="1504155600"/>
    <b v="0"/>
    <b v="1"/>
    <s v="publishing/nonfiction"/>
    <x v="5"/>
    <x v="9"/>
  </r>
  <r>
    <s v="Wong-Walker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s v="theater/plays"/>
    <x v="3"/>
    <x v="3"/>
  </r>
  <r>
    <s v="Guerrero, Flores and Jenkins"/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s v="music/indie rock"/>
    <x v="1"/>
    <x v="7"/>
  </r>
  <r>
    <s v="Peterson PLC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s v="film &amp; video/documentary"/>
    <x v="4"/>
    <x v="4"/>
  </r>
  <r>
    <s v="Townsend Ltd"/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s v="theater/plays"/>
    <x v="3"/>
    <x v="3"/>
  </r>
  <r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s v="theater/plays"/>
    <x v="3"/>
    <x v="3"/>
  </r>
  <r>
    <s v="Salazar-Dodson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s v="publishing/fiction"/>
    <x v="5"/>
    <x v="13"/>
  </r>
  <r>
    <s v="Davis Ltd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s v="theater/plays"/>
    <x v="3"/>
    <x v="3"/>
  </r>
  <r>
    <s v="Harris-Perry"/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s v="music/indie rock"/>
    <x v="1"/>
    <x v="7"/>
  </r>
  <r>
    <s v="Velazquez, Hunt and Ortiz"/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s v="games/video games"/>
    <x v="6"/>
    <x v="11"/>
  </r>
  <r>
    <s v="Flores PLC"/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s v="theater/plays"/>
    <x v="3"/>
    <x v="3"/>
  </r>
  <r>
    <s v="Martinez LLC"/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s v="theater/plays"/>
    <x v="3"/>
    <x v="3"/>
  </r>
  <r>
    <s v="Miller-Irwin"/>
    <s v="Secured maximized policy"/>
    <n v="2200"/>
    <n v="8697"/>
    <n v="3.9531818181818181"/>
    <x v="1"/>
    <n v="223"/>
    <n v="39"/>
    <x v="1"/>
    <s v="USD"/>
    <n v="1330322400"/>
    <n v="1330495200"/>
    <b v="0"/>
    <b v="0"/>
    <s v="music/rock"/>
    <x v="1"/>
    <x v="1"/>
  </r>
  <r>
    <s v="Sanchez-Morgan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s v="film &amp; video/documentary"/>
    <x v="4"/>
    <x v="4"/>
  </r>
  <r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s v="theater/plays"/>
    <x v="3"/>
    <x v="3"/>
  </r>
  <r>
    <s v="Martin-Marshall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s v="food/food trucks"/>
    <x v="0"/>
    <x v="0"/>
  </r>
  <r>
    <s v="Summers PLC"/>
    <s v="Cross-group coherent hierarchy"/>
    <n v="6600"/>
    <n v="1269"/>
    <n v="0.19227272727272726"/>
    <x v="0"/>
    <n v="30"/>
    <n v="42.3"/>
    <x v="1"/>
    <s v="USD"/>
    <n v="1494738000"/>
    <n v="1495861200"/>
    <b v="0"/>
    <b v="0"/>
    <s v="theater/plays"/>
    <x v="3"/>
    <x v="3"/>
  </r>
  <r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s v="music/rock"/>
    <x v="1"/>
    <x v="1"/>
  </r>
  <r>
    <s v="Mills Group"/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s v="technology/web"/>
    <x v="2"/>
    <x v="2"/>
  </r>
  <r>
    <s v="Sandoval-Powell"/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s v="publishing/fiction"/>
    <x v="5"/>
    <x v="13"/>
  </r>
  <r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s v="film &amp; video/shorts"/>
    <x v="4"/>
    <x v="12"/>
  </r>
  <r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s v="theater/plays"/>
    <x v="3"/>
    <x v="3"/>
  </r>
  <r>
    <s v="Cole, Smith and Wood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s v="film &amp; video/documentary"/>
    <x v="4"/>
    <x v="4"/>
  </r>
  <r>
    <s v="Harris, Hall and Harris"/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s v="theater/plays"/>
    <x v="3"/>
    <x v="3"/>
  </r>
  <r>
    <s v="Saunders Group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s v="theater/plays"/>
    <x v="3"/>
    <x v="3"/>
  </r>
  <r>
    <s v="Pham, Avila and Nash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s v="film &amp; video/animation"/>
    <x v="4"/>
    <x v="10"/>
  </r>
  <r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s v="theater/plays"/>
    <x v="3"/>
    <x v="3"/>
  </r>
  <r>
    <s v="Young PLC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s v="music/rock"/>
    <x v="1"/>
    <x v="1"/>
  </r>
  <r>
    <s v="Willis and Sons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s v="games/video games"/>
    <x v="6"/>
    <x v="11"/>
  </r>
  <r>
    <s v="Thompson-Bates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s v="Rose-Silva"/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s v="food/food trucks"/>
    <x v="0"/>
    <x v="0"/>
  </r>
  <r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s v="technology/wearables"/>
    <x v="2"/>
    <x v="8"/>
  </r>
  <r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s v="theater/plays"/>
    <x v="3"/>
    <x v="3"/>
  </r>
  <r>
    <s v="Mcgee Group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s v="music/rock"/>
    <x v="1"/>
    <x v="1"/>
  </r>
  <r>
    <s v="Jordan-Acosta"/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s v="music/rock"/>
    <x v="1"/>
    <x v="1"/>
  </r>
  <r>
    <s v="Nunez Inc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s v="music/rock"/>
    <x v="1"/>
    <x v="1"/>
  </r>
  <r>
    <s v="Hayden Ltd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s v="theater/plays"/>
    <x v="3"/>
    <x v="3"/>
  </r>
  <r>
    <s v="Gonzalez-Burton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s v="theater/plays"/>
    <x v="3"/>
    <x v="3"/>
  </r>
  <r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s v="theater/plays"/>
    <x v="3"/>
    <x v="3"/>
  </r>
  <r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s v="photography/photography books"/>
    <x v="7"/>
    <x v="14"/>
  </r>
  <r>
    <s v="Guzman Group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s v="music/indie rock"/>
    <x v="1"/>
    <x v="7"/>
  </r>
  <r>
    <s v="Gibson-Hernandez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s v="theater/plays"/>
    <x v="3"/>
    <x v="3"/>
  </r>
  <r>
    <s v="Spencer-Weber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s v="theater/plays"/>
    <x v="3"/>
    <x v="3"/>
  </r>
  <r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s v="games/video games"/>
    <x v="6"/>
    <x v="11"/>
  </r>
  <r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s v="film &amp; video/drama"/>
    <x v="4"/>
    <x v="6"/>
  </r>
  <r>
    <s v="Little-Marsh"/>
    <s v="Virtual attitude-oriented migration"/>
    <n v="8000"/>
    <n v="2758"/>
    <n v="0.34475"/>
    <x v="0"/>
    <n v="25"/>
    <n v="110.32"/>
    <x v="1"/>
    <s v="USD"/>
    <n v="1503550800"/>
    <n v="1508302800"/>
    <b v="0"/>
    <b v="1"/>
    <s v="music/indie rock"/>
    <x v="1"/>
    <x v="7"/>
  </r>
  <r>
    <s v="Petersen and Sons"/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s v="technology/web"/>
    <x v="2"/>
    <x v="2"/>
  </r>
  <r>
    <s v="Hensley Ltd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s v="food/food trucks"/>
    <x v="0"/>
    <x v="0"/>
  </r>
  <r>
    <s v="Navarro and Sons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s v="theater/plays"/>
    <x v="3"/>
    <x v="3"/>
  </r>
  <r>
    <s v="Shannon Ltd"/>
    <s v="Pre-emptive neutral capacity"/>
    <n v="100"/>
    <n v="5"/>
    <n v="0.05"/>
    <x v="0"/>
    <n v="1"/>
    <n v="5"/>
    <x v="1"/>
    <s v="USD"/>
    <n v="1432098000"/>
    <n v="1433653200"/>
    <b v="0"/>
    <b v="1"/>
    <s v="music/jazz"/>
    <x v="1"/>
    <x v="17"/>
  </r>
  <r>
    <s v="Young LLC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s v="music/rock"/>
    <x v="1"/>
    <x v="1"/>
  </r>
  <r>
    <s v="Adams, Willis and Sanchez"/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s v="theater/plays"/>
    <x v="3"/>
    <x v="3"/>
  </r>
  <r>
    <s v="Mills-Roy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s v="theater/plays"/>
    <x v="3"/>
    <x v="3"/>
  </r>
  <r>
    <s v="Brown Group"/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s v="film &amp; video/documentary"/>
    <x v="4"/>
    <x v="4"/>
  </r>
  <r>
    <s v="Burns-Burnett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s v="technology/wearables"/>
    <x v="2"/>
    <x v="8"/>
  </r>
  <r>
    <s v="Glass, Nunez and Mcdonald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s v="theater/plays"/>
    <x v="3"/>
    <x v="3"/>
  </r>
  <r>
    <s v="Perez, Davis and Wilson"/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s v="games/video games"/>
    <x v="6"/>
    <x v="11"/>
  </r>
  <r>
    <s v="Diaz-Garcia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s v="Salazar-Moon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s v="film &amp; video/animation"/>
    <x v="4"/>
    <x v="10"/>
  </r>
  <r>
    <s v="Larsen-Chung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s v="theater/plays"/>
    <x v="3"/>
    <x v="3"/>
  </r>
  <r>
    <s v="Anderson and Sons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s v="theater/plays"/>
    <x v="3"/>
    <x v="3"/>
  </r>
  <r>
    <s v="Lawrence Group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s v="music/rock"/>
    <x v="1"/>
    <x v="1"/>
  </r>
  <r>
    <s v="Gray-Davis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s v="music/rock"/>
    <x v="1"/>
    <x v="1"/>
  </r>
  <r>
    <s v="Ramirez-Myers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s v="music/indie rock"/>
    <x v="1"/>
    <x v="7"/>
  </r>
  <r>
    <s v="Lucas, Hall and Bonilla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s v="theater/plays"/>
    <x v="3"/>
    <x v="3"/>
  </r>
  <r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s v="theater/plays"/>
    <x v="3"/>
    <x v="3"/>
  </r>
  <r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s v="theater/plays"/>
    <x v="3"/>
    <x v="3"/>
  </r>
  <r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s v="film &amp; video/documentary"/>
    <x v="4"/>
    <x v="4"/>
  </r>
  <r>
    <s v="Smith-Gonzalez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s v="film &amp; video/television"/>
    <x v="4"/>
    <x v="19"/>
  </r>
  <r>
    <s v="Skinner PLC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s v="theater/plays"/>
    <x v="3"/>
    <x v="3"/>
  </r>
  <r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s v="theater/plays"/>
    <x v="3"/>
    <x v="3"/>
  </r>
  <r>
    <s v="Green-Carr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s v="film &amp; video/documentary"/>
    <x v="4"/>
    <x v="4"/>
  </r>
  <r>
    <s v="Brown-Parker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s v="theater/plays"/>
    <x v="3"/>
    <x v="3"/>
  </r>
  <r>
    <s v="Marshall Inc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s v="Leblanc-Pineda"/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s v="music/indie rock"/>
    <x v="1"/>
    <x v="7"/>
  </r>
  <r>
    <s v="Perry PLC"/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s v="music/rock"/>
    <x v="1"/>
    <x v="1"/>
  </r>
  <r>
    <s v="Klein, Stark and Livingston"/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s v="theater/plays"/>
    <x v="3"/>
    <x v="3"/>
  </r>
  <r>
    <s v="Fleming-Oliver"/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s v="film &amp; video/documentary"/>
    <x v="4"/>
    <x v="4"/>
  </r>
  <r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s v="theater/plays"/>
    <x v="3"/>
    <x v="3"/>
  </r>
  <r>
    <s v="Davidson, Wilcox and Lewis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s v="theater/plays"/>
    <x v="3"/>
    <x v="3"/>
  </r>
  <r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s v="theater/plays"/>
    <x v="3"/>
    <x v="3"/>
  </r>
  <r>
    <s v="King Ltd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s v="photography/photography books"/>
    <x v="7"/>
    <x v="14"/>
  </r>
  <r>
    <s v="Baker Ltd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s v="food/food trucks"/>
    <x v="0"/>
    <x v="0"/>
  </r>
  <r>
    <s v="Baker, Collins and Smith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s v="publishing/nonfiction"/>
    <x v="5"/>
    <x v="9"/>
  </r>
  <r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s v="theater/plays"/>
    <x v="3"/>
    <x v="3"/>
  </r>
  <r>
    <s v="Flores-Lambert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s v="technology/wearables"/>
    <x v="2"/>
    <x v="8"/>
  </r>
  <r>
    <s v="Cruz Ltd"/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s v="music/indie rock"/>
    <x v="1"/>
    <x v="7"/>
  </r>
  <r>
    <s v="Knox-Garner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s v="theater/plays"/>
    <x v="3"/>
    <x v="3"/>
  </r>
  <r>
    <s v="Davis-Allen"/>
    <s v="Digitized eco-centric core"/>
    <n v="2400"/>
    <n v="4477"/>
    <n v="1.8654166666666667"/>
    <x v="1"/>
    <n v="50"/>
    <n v="89.54"/>
    <x v="1"/>
    <s v="USD"/>
    <n v="1379048400"/>
    <n v="1380344400"/>
    <b v="0"/>
    <b v="0"/>
    <s v="photography/photography books"/>
    <x v="7"/>
    <x v="14"/>
  </r>
  <r>
    <s v="Miller-Patel"/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s v="publishing/nonfiction"/>
    <x v="5"/>
    <x v="9"/>
  </r>
  <r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s v="technology/wearables"/>
    <x v="2"/>
    <x v="8"/>
  </r>
  <r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s v="music/jazz"/>
    <x v="1"/>
    <x v="17"/>
  </r>
  <r>
    <s v="Noble-Bailey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s v="film &amp; video/documentary"/>
    <x v="4"/>
    <x v="4"/>
  </r>
  <r>
    <s v="Taylor PLC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s v="theater/plays"/>
    <x v="3"/>
    <x v="3"/>
  </r>
  <r>
    <s v="Holmes PLC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s v="film &amp; video/drama"/>
    <x v="4"/>
    <x v="6"/>
  </r>
  <r>
    <s v="Jones-Martin"/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s v="music/rock"/>
    <x v="1"/>
    <x v="1"/>
  </r>
  <r>
    <s v="Myers LLC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s v="film &amp; video/animation"/>
    <x v="4"/>
    <x v="10"/>
  </r>
  <r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s v="music/indie rock"/>
    <x v="1"/>
    <x v="7"/>
  </r>
  <r>
    <s v="Bell PLC"/>
    <s v="Ergonomic eco-centric open architecture"/>
    <n v="100"/>
    <n v="2"/>
    <n v="0.02"/>
    <x v="0"/>
    <n v="1"/>
    <n v="2"/>
    <x v="1"/>
    <s v="USD"/>
    <n v="1376629200"/>
    <n v="1378530000"/>
    <b v="0"/>
    <b v="1"/>
    <s v="photography/photography books"/>
    <x v="7"/>
    <x v="14"/>
  </r>
  <r>
    <s v="Smith-Schmidt"/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s v="theater/plays"/>
    <x v="3"/>
    <x v="3"/>
  </r>
  <r>
    <s v="Ruiz, Richardson and Cole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s v="film &amp; video/shorts"/>
    <x v="4"/>
    <x v="12"/>
  </r>
  <r>
    <s v="Leonard-Mcclain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s v="theater/plays"/>
    <x v="3"/>
    <x v="3"/>
  </r>
  <r>
    <s v="Bailey-Boyer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s v="theater/plays"/>
    <x v="3"/>
    <x v="3"/>
  </r>
  <r>
    <s v="Lee LLC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s v="theater/plays"/>
    <x v="3"/>
    <x v="3"/>
  </r>
  <r>
    <s v="Lyons Inc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s v="film &amp; video/documentary"/>
    <x v="4"/>
    <x v="4"/>
  </r>
  <r>
    <s v="Herrera-Wilson"/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s v="theater/plays"/>
    <x v="3"/>
    <x v="3"/>
  </r>
  <r>
    <s v="Mahoney, Adams and Lucas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s v="film &amp; video/documentary"/>
    <x v="4"/>
    <x v="4"/>
  </r>
  <r>
    <s v="Stewart LLC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s v="music/rock"/>
    <x v="1"/>
    <x v="1"/>
  </r>
  <r>
    <s v="Mcmillan Group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s v="games/mobile games"/>
    <x v="6"/>
    <x v="20"/>
  </r>
  <r>
    <s v="Beck, Thompson and Martinez"/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s v="theater/plays"/>
    <x v="3"/>
    <x v="3"/>
  </r>
  <r>
    <s v="Rodriguez-Scott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s v="publishing/fiction"/>
    <x v="5"/>
    <x v="13"/>
  </r>
  <r>
    <s v="Rush-Bowers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s v="Davis and Sons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s v="food/food trucks"/>
    <x v="0"/>
    <x v="0"/>
  </r>
  <r>
    <s v="Anderson-Pham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s v="theater/plays"/>
    <x v="3"/>
    <x v="3"/>
  </r>
  <r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s v="film &amp; video/documentary"/>
    <x v="4"/>
    <x v="4"/>
  </r>
  <r>
    <s v="Bradshaw, Smith and Ryan"/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s v="theater/plays"/>
    <x v="3"/>
    <x v="3"/>
  </r>
  <r>
    <s v="Jackson PLC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s v="film &amp; video/documentary"/>
    <x v="4"/>
    <x v="4"/>
  </r>
  <r>
    <s v="Ware-Arias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s v="technology/web"/>
    <x v="2"/>
    <x v="2"/>
  </r>
  <r>
    <s v="Blair, Reyes and Woods"/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s v="theater/plays"/>
    <x v="3"/>
    <x v="3"/>
  </r>
  <r>
    <s v="Thomas-Lopez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s v="technology/wearables"/>
    <x v="2"/>
    <x v="8"/>
  </r>
  <r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s v="theater/plays"/>
    <x v="3"/>
    <x v="3"/>
  </r>
  <r>
    <s v="Jones-Riddle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s v="food/food trucks"/>
    <x v="0"/>
    <x v="0"/>
  </r>
  <r>
    <s v="Schmidt-Gomez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s v="music/indie rock"/>
    <x v="1"/>
    <x v="7"/>
  </r>
  <r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s v="photography/photography books"/>
    <x v="7"/>
    <x v="14"/>
  </r>
  <r>
    <s v="Edwards-Kane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s v="theater/plays"/>
    <x v="3"/>
    <x v="3"/>
  </r>
  <r>
    <s v="Hicks, Wall and Webb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s v="theater/plays"/>
    <x v="3"/>
    <x v="3"/>
  </r>
  <r>
    <s v="Mayer-Richmond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s v="film &amp; video/animation"/>
    <x v="4"/>
    <x v="10"/>
  </r>
  <r>
    <s v="Robles Ltd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s v="photography/photography books"/>
    <x v="7"/>
    <x v="14"/>
  </r>
  <r>
    <s v="Cochran Ltd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s v="theater/plays"/>
    <x v="3"/>
    <x v="3"/>
  </r>
  <r>
    <s v="Rosales LLC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s v="theater/plays"/>
    <x v="3"/>
    <x v="3"/>
  </r>
  <r>
    <s v="Harper-Bryan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s v="theater/plays"/>
    <x v="3"/>
    <x v="3"/>
  </r>
  <r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s v="film &amp; video/documentary"/>
    <x v="4"/>
    <x v="4"/>
  </r>
  <r>
    <s v="Floyd-Sims"/>
    <s v="Cloned transitional hierarchy"/>
    <n v="5400"/>
    <n v="903"/>
    <n v="0.16722222222222222"/>
    <x v="3"/>
    <n v="10"/>
    <n v="90.3"/>
    <x v="0"/>
    <s v="CAD"/>
    <n v="1480572000"/>
    <n v="1481781600"/>
    <b v="1"/>
    <b v="0"/>
    <s v="theater/plays"/>
    <x v="3"/>
    <x v="3"/>
  </r>
  <r>
    <s v="Spence, Jackson and Kelly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s v="theater/plays"/>
    <x v="3"/>
    <x v="3"/>
  </r>
  <r>
    <s v="King-Nguyen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s v="music/jazz"/>
    <x v="1"/>
    <x v="17"/>
  </r>
  <r>
    <s v="Hansen Group"/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s v="film &amp; video/animation"/>
    <x v="4"/>
    <x v="10"/>
  </r>
  <r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s v="theater/plays"/>
    <x v="3"/>
    <x v="3"/>
  </r>
  <r>
    <s v="Cummings Inc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s v="film &amp; video/science fiction"/>
    <x v="4"/>
    <x v="22"/>
  </r>
  <r>
    <s v="Miller-Poole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s v="Rodriguez-West"/>
    <s v="Automated optimal function"/>
    <n v="7000"/>
    <n v="1744"/>
    <n v="0.24914285714285714"/>
    <x v="0"/>
    <n v="32"/>
    <n v="54.5"/>
    <x v="1"/>
    <s v="USD"/>
    <n v="1335416400"/>
    <n v="1337835600"/>
    <b v="0"/>
    <b v="0"/>
    <s v="technology/wearables"/>
    <x v="2"/>
    <x v="8"/>
  </r>
  <r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s v="theater/plays"/>
    <x v="3"/>
    <x v="3"/>
  </r>
  <r>
    <s v="Clark-Bowman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s v="theater/plays"/>
    <x v="3"/>
    <x v="3"/>
  </r>
  <r>
    <s v="Hensley Ltd"/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s v="music/indie rock"/>
    <x v="1"/>
    <x v="7"/>
  </r>
  <r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s v="theater/plays"/>
    <x v="3"/>
    <x v="3"/>
  </r>
  <r>
    <s v="Martin, Martin and Solis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s v="technology/wearables"/>
    <x v="2"/>
    <x v="8"/>
  </r>
  <r>
    <s v="Harrington-Harper"/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s v="film &amp; video/television"/>
    <x v="4"/>
    <x v="19"/>
  </r>
  <r>
    <s v="Price and Sons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s v="games/video games"/>
    <x v="6"/>
    <x v="11"/>
  </r>
  <r>
    <s v="Cuevas-Morales"/>
    <s v="Public-key coherent ability"/>
    <n v="900"/>
    <n v="8703"/>
    <n v="9.67"/>
    <x v="1"/>
    <n v="86"/>
    <n v="101.19767441860465"/>
    <x v="3"/>
    <s v="DKK"/>
    <n v="1551852000"/>
    <n v="1553317200"/>
    <b v="0"/>
    <b v="0"/>
    <s v="games/video games"/>
    <x v="6"/>
    <x v="11"/>
  </r>
  <r>
    <s v="Delgado-Hatfield"/>
    <s v="Up-sized composite success"/>
    <n v="100"/>
    <n v="4"/>
    <n v="0.04"/>
    <x v="0"/>
    <n v="1"/>
    <n v="4"/>
    <x v="0"/>
    <s v="CAD"/>
    <n v="1540098000"/>
    <n v="1542088800"/>
    <b v="0"/>
    <b v="0"/>
    <s v="film &amp; video/animation"/>
    <x v="4"/>
    <x v="10"/>
  </r>
  <r>
    <s v="Padilla-Porter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s v="music/rock"/>
    <x v="1"/>
    <x v="1"/>
  </r>
  <r>
    <s v="Morris Group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s v="film &amp; video/drama"/>
    <x v="4"/>
    <x v="6"/>
  </r>
  <r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s v="film &amp; video/science fiction"/>
    <x v="4"/>
    <x v="22"/>
  </r>
  <r>
    <s v="Woods Inc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s v="film &amp; video/drama"/>
    <x v="4"/>
    <x v="6"/>
  </r>
  <r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s v="theater/plays"/>
    <x v="3"/>
    <x v="3"/>
  </r>
  <r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s v="music/indie rock"/>
    <x v="1"/>
    <x v="7"/>
  </r>
  <r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s v="theater/plays"/>
    <x v="3"/>
    <x v="3"/>
  </r>
  <r>
    <s v="Wise, Thompson and Allen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s v="theater/plays"/>
    <x v="3"/>
    <x v="3"/>
  </r>
  <r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s v="film &amp; video/documentary"/>
    <x v="4"/>
    <x v="4"/>
  </r>
  <r>
    <s v="Rich, Alvarez and King"/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s v="theater/plays"/>
    <x v="3"/>
    <x v="3"/>
  </r>
  <r>
    <s v="Terry-Salinas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s v="film &amp; video/drama"/>
    <x v="4"/>
    <x v="6"/>
  </r>
  <r>
    <s v="Wang-Rodriguez"/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s v="games/mobile games"/>
    <x v="6"/>
    <x v="20"/>
  </r>
  <r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s v="Gomez LLC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s v="theater/plays"/>
    <x v="3"/>
    <x v="3"/>
  </r>
  <r>
    <s v="Gonzalez-Robbins"/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s v="publishing/translations"/>
    <x v="5"/>
    <x v="18"/>
  </r>
  <r>
    <s v="Obrien and Sons"/>
    <s v="Pre-emptive transitional frame"/>
    <n v="1200"/>
    <n v="3984"/>
    <n v="3.32"/>
    <x v="1"/>
    <n v="42"/>
    <n v="94.857142857142861"/>
    <x v="1"/>
    <s v="USD"/>
    <n v="1368594000"/>
    <n v="1370581200"/>
    <b v="0"/>
    <b v="1"/>
    <s v="technology/wearables"/>
    <x v="2"/>
    <x v="8"/>
  </r>
  <r>
    <s v="Shaw Ltd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s v="technology/web"/>
    <x v="2"/>
    <x v="2"/>
  </r>
  <r>
    <s v="Hughes Inc"/>
    <s v="Streamlined neutral analyzer"/>
    <n v="4000"/>
    <n v="1620"/>
    <n v="0.40500000000000003"/>
    <x v="0"/>
    <n v="16"/>
    <n v="101.25"/>
    <x v="1"/>
    <s v="USD"/>
    <n v="1555218000"/>
    <n v="1556600400"/>
    <b v="0"/>
    <b v="0"/>
    <s v="theater/plays"/>
    <x v="3"/>
    <x v="3"/>
  </r>
  <r>
    <s v="Olsen-Ryan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s v="film &amp; video/drama"/>
    <x v="4"/>
    <x v="6"/>
  </r>
  <r>
    <s v="Grimes, Holland and Sloan"/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s v="technology/wearables"/>
    <x v="2"/>
    <x v="8"/>
  </r>
  <r>
    <s v="Perry and Sons"/>
    <s v="Configurable static help-desk"/>
    <n v="3100"/>
    <n v="9889"/>
    <n v="3.19"/>
    <x v="1"/>
    <n v="194"/>
    <n v="50.97422680412371"/>
    <x v="4"/>
    <s v="GBP"/>
    <n v="1335934800"/>
    <n v="1335934800"/>
    <b v="0"/>
    <b v="1"/>
    <s v="food/food trucks"/>
    <x v="0"/>
    <x v="0"/>
  </r>
  <r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s v="music/rock"/>
    <x v="1"/>
    <x v="1"/>
  </r>
  <r>
    <s v="Richardson Inc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s v="music/electric music"/>
    <x v="1"/>
    <x v="5"/>
  </r>
  <r>
    <s v="Santos-Young"/>
    <s v="Enhanced neutral ability"/>
    <n v="4000"/>
    <n v="14606"/>
    <n v="3.6515"/>
    <x v="1"/>
    <n v="142"/>
    <n v="102.85915492957747"/>
    <x v="1"/>
    <s v="USD"/>
    <n v="1418709600"/>
    <n v="1418796000"/>
    <b v="0"/>
    <b v="0"/>
    <s v="film &amp; video/television"/>
    <x v="4"/>
    <x v="19"/>
  </r>
  <r>
    <s v="Nichols Ltd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s v="publishing/translations"/>
    <x v="5"/>
    <x v="18"/>
  </r>
  <r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s v="publishing/fiction"/>
    <x v="5"/>
    <x v="13"/>
  </r>
  <r>
    <s v="Hogan, Porter and Rivera"/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s v="film &amp; video/science fiction"/>
    <x v="4"/>
    <x v="22"/>
  </r>
  <r>
    <s v="Lyons LLC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s v="technology/wearables"/>
    <x v="2"/>
    <x v="8"/>
  </r>
  <r>
    <s v="Long-Greene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s v="food/food trucks"/>
    <x v="0"/>
    <x v="0"/>
  </r>
  <r>
    <s v="Robles-Hudson"/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s v="Mcclure LLC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s v="theater/plays"/>
    <x v="3"/>
    <x v="3"/>
  </r>
  <r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s v="publishing/fiction"/>
    <x v="5"/>
    <x v="13"/>
  </r>
  <r>
    <s v="Rice-Parker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s v="theater/plays"/>
    <x v="3"/>
    <x v="3"/>
  </r>
  <r>
    <s v="Landry Inc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s v="food/food trucks"/>
    <x v="0"/>
    <x v="0"/>
  </r>
  <r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s v="theater/plays"/>
    <x v="3"/>
    <x v="3"/>
  </r>
  <r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s v="publishing/translations"/>
    <x v="5"/>
    <x v="18"/>
  </r>
  <r>
    <s v="Smith-Wallace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s v="theater/plays"/>
    <x v="3"/>
    <x v="3"/>
  </r>
  <r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s v="theater/plays"/>
    <x v="3"/>
    <x v="3"/>
  </r>
  <r>
    <s v="Clark Inc"/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s v="technology/wearables"/>
    <x v="2"/>
    <x v="8"/>
  </r>
  <r>
    <s v="Young and Sons"/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s v="journalism/audio"/>
    <x v="8"/>
    <x v="23"/>
  </r>
  <r>
    <s v="Henson PLC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s v="food/food trucks"/>
    <x v="0"/>
    <x v="0"/>
  </r>
  <r>
    <s v="Garcia Group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s v="film &amp; video/shorts"/>
    <x v="4"/>
    <x v="12"/>
  </r>
  <r>
    <s v="Adams, Walker and Wong"/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s v="photography/photography books"/>
    <x v="7"/>
    <x v="14"/>
  </r>
  <r>
    <s v="Hopkins-Browning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s v="technology/wearables"/>
    <x v="2"/>
    <x v="8"/>
  </r>
  <r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s v="theater/plays"/>
    <x v="3"/>
    <x v="3"/>
  </r>
  <r>
    <s v="Morales Group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s v="film &amp; video/animation"/>
    <x v="4"/>
    <x v="10"/>
  </r>
  <r>
    <s v="Lucero Group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s v="technology/wearables"/>
    <x v="2"/>
    <x v="8"/>
  </r>
  <r>
    <s v="Smith, Brown and Davis"/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s v="technology/web"/>
    <x v="2"/>
    <x v="2"/>
  </r>
  <r>
    <s v="Hunt Group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s v="film &amp; video/documentary"/>
    <x v="4"/>
    <x v="4"/>
  </r>
  <r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s v="Mccann-Le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s v="film &amp; video/documentary"/>
    <x v="4"/>
    <x v="4"/>
  </r>
  <r>
    <s v="Johnson Inc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s v="games/video games"/>
    <x v="6"/>
    <x v="11"/>
  </r>
  <r>
    <s v="Collins LLC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s v="film &amp; video/drama"/>
    <x v="4"/>
    <x v="6"/>
  </r>
  <r>
    <s v="Smith-Miller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s v="music/rock"/>
    <x v="1"/>
    <x v="1"/>
  </r>
  <r>
    <s v="Jensen-Vargas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s v="theater/plays"/>
    <x v="3"/>
    <x v="3"/>
  </r>
  <r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s v="technology/web"/>
    <x v="2"/>
    <x v="2"/>
  </r>
  <r>
    <s v="Roberts Group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s v="theater/plays"/>
    <x v="3"/>
    <x v="3"/>
  </r>
  <r>
    <s v="White LLC"/>
    <s v="Robust zero-defect project"/>
    <n v="168500"/>
    <n v="119510"/>
    <n v="0.70925816023738875"/>
    <x v="0"/>
    <n v="1258"/>
    <n v="95"/>
    <x v="1"/>
    <s v="USD"/>
    <n v="1336194000"/>
    <n v="1337058000"/>
    <b v="0"/>
    <b v="0"/>
    <s v="theater/plays"/>
    <x v="3"/>
    <x v="3"/>
  </r>
  <r>
    <s v="Best, Miller and Thomas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s v="film &amp; video/drama"/>
    <x v="4"/>
    <x v="6"/>
  </r>
  <r>
    <s v="Smith-Mullins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s v="theater/plays"/>
    <x v="3"/>
    <x v="3"/>
  </r>
  <r>
    <s v="Williams-Walsh"/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s v="games/video games"/>
    <x v="6"/>
    <x v="11"/>
  </r>
  <r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s v="film &amp; video/television"/>
    <x v="4"/>
    <x v="19"/>
  </r>
  <r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s v="music/rock"/>
    <x v="1"/>
    <x v="1"/>
  </r>
  <r>
    <s v="Cox LLC"/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s v="theater/plays"/>
    <x v="3"/>
    <x v="3"/>
  </r>
  <r>
    <s v="Morales-Odonnell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s v="publishing/nonfiction"/>
    <x v="5"/>
    <x v="9"/>
  </r>
  <r>
    <s v="Ramirez LLC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s v="food/food trucks"/>
    <x v="0"/>
    <x v="0"/>
  </r>
  <r>
    <s v="Ramirez Group"/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s v="film &amp; video/animation"/>
    <x v="4"/>
    <x v="10"/>
  </r>
  <r>
    <s v="Marsh-Coleman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s v="music/rock"/>
    <x v="1"/>
    <x v="1"/>
  </r>
  <r>
    <s v="Frederick, Jenkins and Collins"/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s v="theater/plays"/>
    <x v="3"/>
    <x v="3"/>
  </r>
  <r>
    <s v="Wilson Ltd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s v="film &amp; video/drama"/>
    <x v="4"/>
    <x v="6"/>
  </r>
  <r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s v="film &amp; video/shorts"/>
    <x v="4"/>
    <x v="12"/>
  </r>
  <r>
    <s v="Underwood, James and Jones"/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s v="film &amp; video/shorts"/>
    <x v="4"/>
    <x v="12"/>
  </r>
  <r>
    <s v="Johnson-Contreras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s v="theater/plays"/>
    <x v="3"/>
    <x v="3"/>
  </r>
  <r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s v="technology/wearables"/>
    <x v="2"/>
    <x v="8"/>
  </r>
  <r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s v="theater/plays"/>
    <x v="3"/>
    <x v="3"/>
  </r>
  <r>
    <s v="Rosario-Smith"/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s v="film &amp; video/animation"/>
    <x v="4"/>
    <x v="10"/>
  </r>
  <r>
    <s v="Avila, Ford and Welch"/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s v="music/indie rock"/>
    <x v="1"/>
    <x v="7"/>
  </r>
  <r>
    <s v="Gallegos Inc"/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s v="games/video games"/>
    <x v="6"/>
    <x v="11"/>
  </r>
  <r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s v="publishing/fiction"/>
    <x v="5"/>
    <x v="13"/>
  </r>
  <r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s v="games/video games"/>
    <x v="6"/>
    <x v="11"/>
  </r>
  <r>
    <s v="Cordova-Torres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s v="theater/plays"/>
    <x v="3"/>
    <x v="3"/>
  </r>
  <r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s v="music/indie rock"/>
    <x v="1"/>
    <x v="7"/>
  </r>
  <r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s v="film &amp; video/drama"/>
    <x v="4"/>
    <x v="6"/>
  </r>
  <r>
    <s v="Garrison LLC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s v="theater/plays"/>
    <x v="3"/>
    <x v="3"/>
  </r>
  <r>
    <s v="Shannon-Olson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s v="publishing/fiction"/>
    <x v="5"/>
    <x v="13"/>
  </r>
  <r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s v="games/mobile games"/>
    <x v="6"/>
    <x v="20"/>
  </r>
  <r>
    <s v="Thomas, Welch and Santana"/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s v="food/food trucks"/>
    <x v="0"/>
    <x v="0"/>
  </r>
  <r>
    <s v="Brown-Pena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s v="games/mobile games"/>
    <x v="6"/>
    <x v="20"/>
  </r>
  <r>
    <s v="Harrison-Bridges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s v="music/indie rock"/>
    <x v="1"/>
    <x v="7"/>
  </r>
  <r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s v="games/video games"/>
    <x v="6"/>
    <x v="11"/>
  </r>
  <r>
    <s v="Taylor Inc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s v="music/rock"/>
    <x v="1"/>
    <x v="1"/>
  </r>
  <r>
    <s v="Deleon and Sons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s v="theater/plays"/>
    <x v="3"/>
    <x v="3"/>
  </r>
  <r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s v="theater/plays"/>
    <x v="3"/>
    <x v="3"/>
  </r>
  <r>
    <s v="Hardin-Dixon"/>
    <s v="Focused solution-oriented matrix"/>
    <n v="1300"/>
    <n v="12597"/>
    <n v="9.69"/>
    <x v="1"/>
    <n v="156"/>
    <n v="80.75"/>
    <x v="1"/>
    <s v="USD"/>
    <n v="1422165600"/>
    <n v="1423202400"/>
    <b v="0"/>
    <b v="0"/>
    <s v="film &amp; video/drama"/>
    <x v="4"/>
    <x v="6"/>
  </r>
  <r>
    <s v="York-Pitts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s v="theater/plays"/>
    <x v="3"/>
    <x v="3"/>
  </r>
  <r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s v="technology/wearables"/>
    <x v="2"/>
    <x v="8"/>
  </r>
  <r>
    <s v="Morrison-Henderson"/>
    <s v="De-engineered disintermediate encoding"/>
    <n v="100"/>
    <n v="4"/>
    <n v="0.04"/>
    <x v="3"/>
    <n v="1"/>
    <n v="4"/>
    <x v="5"/>
    <s v="CHF"/>
    <n v="1330495200"/>
    <n v="1332306000"/>
    <b v="0"/>
    <b v="0"/>
    <s v="music/indie rock"/>
    <x v="1"/>
    <x v="7"/>
  </r>
  <r>
    <s v="Martin-James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s v="technology/web"/>
    <x v="2"/>
    <x v="2"/>
  </r>
  <r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s v="theater/plays"/>
    <x v="3"/>
    <x v="3"/>
  </r>
  <r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s v="music/rock"/>
    <x v="1"/>
    <x v="1"/>
  </r>
  <r>
    <s v="Ritter PLC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s v="music/indie rock"/>
    <x v="1"/>
    <x v="7"/>
  </r>
  <r>
    <s v="Anderson Group"/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s v="music/rock"/>
    <x v="1"/>
    <x v="1"/>
  </r>
  <r>
    <s v="Smith and Sons"/>
    <s v="Grass-roots 24/7 attitude"/>
    <n v="5200"/>
    <n v="12467"/>
    <n v="2.3975"/>
    <x v="1"/>
    <n v="122"/>
    <n v="102.18852459016394"/>
    <x v="1"/>
    <s v="USD"/>
    <n v="1315285200"/>
    <n v="1315890000"/>
    <b v="0"/>
    <b v="1"/>
    <s v="publishing/translations"/>
    <x v="5"/>
    <x v="18"/>
  </r>
  <r>
    <s v="Lam-Hamilton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s v="Ho Ltd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s v="theater/plays"/>
    <x v="3"/>
    <x v="3"/>
  </r>
  <r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s v="theater/plays"/>
    <x v="3"/>
    <x v="3"/>
  </r>
  <r>
    <s v="Hunt LLC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s v="film &amp; video/animation"/>
    <x v="4"/>
    <x v="10"/>
  </r>
  <r>
    <s v="Fowler-Smith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s v="theater/plays"/>
    <x v="3"/>
    <x v="3"/>
  </r>
  <r>
    <s v="Blair Inc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s v="music/rock"/>
    <x v="1"/>
    <x v="1"/>
  </r>
  <r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s v="theater/plays"/>
    <x v="3"/>
    <x v="3"/>
  </r>
  <r>
    <s v="Joseph LLC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s v="theater/plays"/>
    <x v="3"/>
    <x v="3"/>
  </r>
  <r>
    <s v="Webb-Smith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s v="music/electric music"/>
    <x v="1"/>
    <x v="5"/>
  </r>
  <r>
    <s v="Johns PLC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s v="music/rock"/>
    <x v="1"/>
    <x v="1"/>
  </r>
  <r>
    <s v="Hardin-Foley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s v="theater/plays"/>
    <x v="3"/>
    <x v="3"/>
  </r>
  <r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s v="film &amp; video/animation"/>
    <x v="4"/>
    <x v="10"/>
  </r>
  <r>
    <s v="Martinez-Juarez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s v="music/rock"/>
    <x v="1"/>
    <x v="1"/>
  </r>
  <r>
    <s v="Wilson and Sons"/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s v="film &amp; video/shorts"/>
    <x v="4"/>
    <x v="12"/>
  </r>
  <r>
    <s v="Clements Group"/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s v="music/rock"/>
    <x v="1"/>
    <x v="1"/>
  </r>
  <r>
    <s v="Valenzuela-Cook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s v="journalism/audio"/>
    <x v="8"/>
    <x v="23"/>
  </r>
  <r>
    <s v="Parker, Haley and Foster"/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s v="food/food trucks"/>
    <x v="0"/>
    <x v="0"/>
  </r>
  <r>
    <s v="Fuentes LLC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s v="theater/plays"/>
    <x v="3"/>
    <x v="3"/>
  </r>
  <r>
    <s v="Moran and Sons"/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s v="theater/plays"/>
    <x v="3"/>
    <x v="3"/>
  </r>
  <r>
    <s v="Stevens Inc"/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s v="music/jazz"/>
    <x v="1"/>
    <x v="17"/>
  </r>
  <r>
    <s v="Martinez-Johnson"/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s v="film &amp; video/science fiction"/>
    <x v="4"/>
    <x v="22"/>
  </r>
  <r>
    <s v="Franklin Inc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s v="music/jazz"/>
    <x v="1"/>
    <x v="17"/>
  </r>
  <r>
    <s v="Perez PLC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s v="theater/plays"/>
    <x v="3"/>
    <x v="3"/>
  </r>
  <r>
    <s v="Sanchez, Cross and Savage"/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s v="technology/web"/>
    <x v="2"/>
    <x v="2"/>
  </r>
  <r>
    <s v="Pineda Ltd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s v="games/video games"/>
    <x v="6"/>
    <x v="11"/>
  </r>
  <r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s v="film &amp; video/documentary"/>
    <x v="4"/>
    <x v="4"/>
  </r>
  <r>
    <s v="Nunez-Richards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s v="technology/web"/>
    <x v="2"/>
    <x v="2"/>
  </r>
  <r>
    <s v="Pugh LLC"/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s v="publishing/translations"/>
    <x v="5"/>
    <x v="18"/>
  </r>
  <r>
    <s v="Rowe-Wong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s v="music/rock"/>
    <x v="1"/>
    <x v="1"/>
  </r>
  <r>
    <s v="Williams-Santos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s v="food/food trucks"/>
    <x v="0"/>
    <x v="0"/>
  </r>
  <r>
    <s v="Weber Inc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s v="theater/plays"/>
    <x v="3"/>
    <x v="3"/>
  </r>
  <r>
    <s v="Avery, Brown and Parker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s v="film &amp; video/documentary"/>
    <x v="4"/>
    <x v="4"/>
  </r>
  <r>
    <s v="Cox Group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s v="publishing/radio &amp; podcasts"/>
    <x v="5"/>
    <x v="15"/>
  </r>
  <r>
    <s v="Jensen LLC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s v="games/video games"/>
    <x v="6"/>
    <x v="11"/>
  </r>
  <r>
    <s v="Brown Inc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s v="theater/plays"/>
    <x v="3"/>
    <x v="3"/>
  </r>
  <r>
    <s v="Hale-Hayes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s v="theater/plays"/>
    <x v="3"/>
    <x v="3"/>
  </r>
  <r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s v="theater/plays"/>
    <x v="3"/>
    <x v="3"/>
  </r>
  <r>
    <s v="Becker-Scott"/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s v="film &amp; video/drama"/>
    <x v="4"/>
    <x v="6"/>
  </r>
  <r>
    <s v="Todd, Freeman and Henry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s v="theater/plays"/>
    <x v="3"/>
    <x v="3"/>
  </r>
  <r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s v="music/rock"/>
    <x v="1"/>
    <x v="1"/>
  </r>
  <r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s v="film &amp; video/documentary"/>
    <x v="4"/>
    <x v="4"/>
  </r>
  <r>
    <s v="Brown-George"/>
    <s v="Cross-platform tertiary array"/>
    <n v="100"/>
    <n v="5"/>
    <n v="0.05"/>
    <x v="0"/>
    <n v="1"/>
    <n v="5"/>
    <x v="4"/>
    <s v="GBP"/>
    <n v="1375160400"/>
    <n v="1376197200"/>
    <b v="0"/>
    <b v="0"/>
    <s v="food/food trucks"/>
    <x v="0"/>
    <x v="0"/>
  </r>
  <r>
    <s v="Waters and Sons"/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s v="technology/wearables"/>
    <x v="2"/>
    <x v="8"/>
  </r>
  <r>
    <s v="Brown Ltd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s v="theater/plays"/>
    <x v="3"/>
    <x v="3"/>
  </r>
  <r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s v="theater/plays"/>
    <x v="3"/>
    <x v="3"/>
  </r>
  <r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s v="theater/plays"/>
    <x v="3"/>
    <x v="3"/>
  </r>
  <r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s v="publishing/nonfiction"/>
    <x v="5"/>
    <x v="9"/>
  </r>
  <r>
    <s v="Valencia PLC"/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s v="music/rock"/>
    <x v="1"/>
    <x v="1"/>
  </r>
  <r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s v="food/food trucks"/>
    <x v="0"/>
    <x v="0"/>
  </r>
  <r>
    <s v="Johnson Group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s v="music/jazz"/>
    <x v="1"/>
    <x v="17"/>
  </r>
  <r>
    <s v="Rose-Fuller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s v="theater/plays"/>
    <x v="3"/>
    <x v="3"/>
  </r>
  <r>
    <s v="Brady, Cortez and Rodriguez"/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s v="theater/plays"/>
    <x v="3"/>
    <x v="3"/>
  </r>
  <r>
    <s v="Wang, Nguyen and Horton"/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s v="music/electric music"/>
    <x v="1"/>
    <x v="5"/>
  </r>
  <r>
    <s v="Santos, Williams and Brown"/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s v="theater/plays"/>
    <x v="3"/>
    <x v="3"/>
  </r>
  <r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s v="theater/plays"/>
    <x v="3"/>
    <x v="3"/>
  </r>
  <r>
    <s v="Petersen-Rodriguez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s v="theater/plays"/>
    <x v="3"/>
    <x v="3"/>
  </r>
  <r>
    <s v="Burnett-Mora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s v="music/indie rock"/>
    <x v="1"/>
    <x v="7"/>
  </r>
  <r>
    <s v="King LLC"/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s v="theater/plays"/>
    <x v="3"/>
    <x v="3"/>
  </r>
  <r>
    <s v="Miller Ltd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s v="publishing/nonfiction"/>
    <x v="5"/>
    <x v="9"/>
  </r>
  <r>
    <s v="Case LLC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s v="theater/plays"/>
    <x v="3"/>
    <x v="3"/>
  </r>
  <r>
    <s v="Swanson, Wilson and Baker"/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s v="photography/photography books"/>
    <x v="7"/>
    <x v="14"/>
  </r>
  <r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s v="theater/plays"/>
    <x v="3"/>
    <x v="3"/>
  </r>
  <r>
    <s v="Smith-Smith"/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s v="music/indie rock"/>
    <x v="1"/>
    <x v="7"/>
  </r>
  <r>
    <s v="Smith, Scott and Rodriguez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s v="theater/plays"/>
    <x v="3"/>
    <x v="3"/>
  </r>
  <r>
    <s v="White, Robertson and Roberts"/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s v="photography/photography books"/>
    <x v="7"/>
    <x v="14"/>
  </r>
  <r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s v="theater/plays"/>
    <x v="3"/>
    <x v="3"/>
  </r>
  <r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s v="theater/plays"/>
    <x v="3"/>
    <x v="3"/>
  </r>
  <r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s v="food/food trucks"/>
    <x v="0"/>
    <x v="0"/>
  </r>
  <r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s v="music/indie rock"/>
    <x v="1"/>
    <x v="7"/>
  </r>
  <r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s v="theater/plays"/>
    <x v="3"/>
    <x v="3"/>
  </r>
  <r>
    <s v="Patterson-Johnson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s v="theater/plays"/>
    <x v="3"/>
    <x v="3"/>
  </r>
  <r>
    <s v="Carlson-Hernandez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s v="theater/plays"/>
    <x v="3"/>
    <x v="3"/>
  </r>
  <r>
    <s v="Parker PLC"/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s v="theater/plays"/>
    <x v="3"/>
    <x v="3"/>
  </r>
  <r>
    <s v="Yu and Sons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s v="film &amp; video/animation"/>
    <x v="4"/>
    <x v="10"/>
  </r>
  <r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s v="film &amp; video/television"/>
    <x v="4"/>
    <x v="19"/>
  </r>
  <r>
    <s v="Mack Ltd"/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s v="film &amp; video/television"/>
    <x v="4"/>
    <x v="19"/>
  </r>
  <r>
    <s v="Lamb-Sanders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s v="film &amp; video/animation"/>
    <x v="4"/>
    <x v="10"/>
  </r>
  <r>
    <s v="Williams-Ramirez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s v="theater/plays"/>
    <x v="3"/>
    <x v="3"/>
  </r>
  <r>
    <s v="Weaver Ltd"/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s v="theater/plays"/>
    <x v="3"/>
    <x v="3"/>
  </r>
  <r>
    <s v="Barnes-Williams"/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s v="film &amp; video/drama"/>
    <x v="4"/>
    <x v="6"/>
  </r>
  <r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s v="theater/plays"/>
    <x v="3"/>
    <x v="3"/>
  </r>
  <r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s v="theater/plays"/>
    <x v="3"/>
    <x v="3"/>
  </r>
  <r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s v="technology/wearables"/>
    <x v="2"/>
    <x v="8"/>
  </r>
  <r>
    <s v="Harris Inc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s v="theater/plays"/>
    <x v="3"/>
    <x v="3"/>
  </r>
  <r>
    <s v="Peters-Nelson"/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s v="theater/plays"/>
    <x v="3"/>
    <x v="3"/>
  </r>
  <r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s v="music/rock"/>
    <x v="1"/>
    <x v="1"/>
  </r>
  <r>
    <s v="Robinson Group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s v="games/video games"/>
    <x v="6"/>
    <x v="11"/>
  </r>
  <r>
    <s v="Jordan-Wolfe"/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s v="publishing/translations"/>
    <x v="5"/>
    <x v="18"/>
  </r>
  <r>
    <s v="Vargas-Cox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s v="food/food trucks"/>
    <x v="0"/>
    <x v="0"/>
  </r>
  <r>
    <s v="Yang and Sons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s v="theater/plays"/>
    <x v="3"/>
    <x v="3"/>
  </r>
  <r>
    <s v="Wilson, Wilson and Mathis"/>
    <s v="Optional asymmetric success"/>
    <n v="100"/>
    <n v="2"/>
    <n v="0.02"/>
    <x v="0"/>
    <n v="1"/>
    <n v="2"/>
    <x v="1"/>
    <s v="USD"/>
    <n v="1404795600"/>
    <n v="1407128400"/>
    <b v="0"/>
    <b v="0"/>
    <s v="music/jazz"/>
    <x v="1"/>
    <x v="17"/>
  </r>
  <r>
    <s v="Wang, Koch and Weaver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s v="film &amp; video/shorts"/>
    <x v="4"/>
    <x v="12"/>
  </r>
  <r>
    <s v="Cisneros Ltd"/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s v="technology/web"/>
    <x v="2"/>
    <x v="2"/>
  </r>
  <r>
    <s v="Williams-Jones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s v="technology/web"/>
    <x v="2"/>
    <x v="2"/>
  </r>
  <r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s v="music/metal"/>
    <x v="1"/>
    <x v="16"/>
  </r>
  <r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s v="photography/photography books"/>
    <x v="7"/>
    <x v="14"/>
  </r>
  <r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s v="food/food trucks"/>
    <x v="0"/>
    <x v="0"/>
  </r>
  <r>
    <s v="Russo, Kim and Mccoy"/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s v="film &amp; video/science fiction"/>
    <x v="4"/>
    <x v="22"/>
  </r>
  <r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s v="music/rock"/>
    <x v="1"/>
    <x v="1"/>
  </r>
  <r>
    <s v="Bailey and Sons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s v="film &amp; video/documentary"/>
    <x v="4"/>
    <x v="4"/>
  </r>
  <r>
    <s v="Jensen-Brown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s v="theater/plays"/>
    <x v="3"/>
    <x v="3"/>
  </r>
  <r>
    <s v="Smith Group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s v="music/jazz"/>
    <x v="1"/>
    <x v="17"/>
  </r>
  <r>
    <s v="Murphy-Farrell"/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s v="theater/plays"/>
    <x v="3"/>
    <x v="3"/>
  </r>
  <r>
    <s v="Everett-Wolfe"/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s v="theater/plays"/>
    <x v="3"/>
    <x v="3"/>
  </r>
  <r>
    <s v="Young PLC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s v="music/jazz"/>
    <x v="1"/>
    <x v="17"/>
  </r>
  <r>
    <s v="Park-Goodman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s v="film &amp; video/documentary"/>
    <x v="4"/>
    <x v="4"/>
  </r>
  <r>
    <s v="York, Barr and Grant"/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s v="theater/plays"/>
    <x v="3"/>
    <x v="3"/>
  </r>
  <r>
    <s v="Little Ltd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s v="journalism/audio"/>
    <x v="8"/>
    <x v="23"/>
  </r>
  <r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s v="theater/plays"/>
    <x v="3"/>
    <x v="3"/>
  </r>
  <r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s v="theater/plays"/>
    <x v="3"/>
    <x v="3"/>
  </r>
  <r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s v="music/indie rock"/>
    <x v="1"/>
    <x v="7"/>
  </r>
  <r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s v="theater/plays"/>
    <x v="3"/>
    <x v="3"/>
  </r>
  <r>
    <s v="Kelly-Colon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s v="theater/plays"/>
    <x v="3"/>
    <x v="3"/>
  </r>
  <r>
    <s v="Turner, Scott and Gentry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s v="music/indie rock"/>
    <x v="1"/>
    <x v="7"/>
  </r>
  <r>
    <s v="Sanchez Ltd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s v="photography/photography books"/>
    <x v="7"/>
    <x v="14"/>
  </r>
  <r>
    <s v="Giles-Smith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s v="journalism/audio"/>
    <x v="8"/>
    <x v="23"/>
  </r>
  <r>
    <s v="Thompson-Moreno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s v="photography/photography books"/>
    <x v="7"/>
    <x v="14"/>
  </r>
  <r>
    <s v="Murphy-Fox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s v="publishing/fiction"/>
    <x v="5"/>
    <x v="13"/>
  </r>
  <r>
    <s v="Rodriguez-Patterson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s v="film &amp; video/drama"/>
    <x v="4"/>
    <x v="6"/>
  </r>
  <r>
    <s v="Davis Ltd"/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s v="food/food trucks"/>
    <x v="0"/>
    <x v="0"/>
  </r>
  <r>
    <s v="Nelson-Valdez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s v="games/mobile games"/>
    <x v="6"/>
    <x v="20"/>
  </r>
  <r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s v="theater/plays"/>
    <x v="3"/>
    <x v="3"/>
  </r>
  <r>
    <s v="Nguyen and Sons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s v="theater/plays"/>
    <x v="3"/>
    <x v="3"/>
  </r>
  <r>
    <s v="Jones PLC"/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s v="theater/plays"/>
    <x v="3"/>
    <x v="3"/>
  </r>
  <r>
    <s v="Gilmore LLC"/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s v="publishing/nonfiction"/>
    <x v="5"/>
    <x v="9"/>
  </r>
  <r>
    <s v="Lee-Cobb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s v="theater/plays"/>
    <x v="3"/>
    <x v="3"/>
  </r>
  <r>
    <s v="Jones, Wiley and Robbins"/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s v="technology/wearables"/>
    <x v="2"/>
    <x v="8"/>
  </r>
  <r>
    <s v="Martin, Gates and Holt"/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s v="theater/plays"/>
    <x v="3"/>
    <x v="3"/>
  </r>
  <r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s v="film &amp; video/television"/>
    <x v="4"/>
    <x v="19"/>
  </r>
  <r>
    <s v="Nguyen Inc"/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s v="technology/web"/>
    <x v="2"/>
    <x v="2"/>
  </r>
  <r>
    <s v="Walsh-Watts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s v="film &amp; video/documentary"/>
    <x v="4"/>
    <x v="4"/>
  </r>
  <r>
    <s v="Ray, Li and Li"/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s v="film &amp; video/documentary"/>
    <x v="4"/>
    <x v="4"/>
  </r>
  <r>
    <s v="Murray Ltd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s v="music/rock"/>
    <x v="1"/>
    <x v="1"/>
  </r>
  <r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s v="theater/plays"/>
    <x v="3"/>
    <x v="3"/>
  </r>
  <r>
    <s v="Mora-Bradley"/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s v="theater/plays"/>
    <x v="3"/>
    <x v="3"/>
  </r>
  <r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s v="music/rock"/>
    <x v="1"/>
    <x v="1"/>
  </r>
  <r>
    <s v="Lopez, Reid and Johnson"/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s v="theater/plays"/>
    <x v="3"/>
    <x v="3"/>
  </r>
  <r>
    <s v="Fox-Williams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s v="music/electric music"/>
    <x v="1"/>
    <x v="5"/>
  </r>
  <r>
    <s v="Taylor, Wood and Taylor"/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s v="technology/wearables"/>
    <x v="2"/>
    <x v="8"/>
  </r>
  <r>
    <s v="King Inc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s v="film &amp; video/drama"/>
    <x v="4"/>
    <x v="6"/>
  </r>
  <r>
    <s v="Cole, Petty and Cameron"/>
    <s v="Realigned zero administration paradigm"/>
    <n v="100"/>
    <n v="3"/>
    <n v="0.03"/>
    <x v="0"/>
    <n v="1"/>
    <n v="3"/>
    <x v="1"/>
    <s v="USD"/>
    <n v="1264399200"/>
    <n v="1265695200"/>
    <b v="0"/>
    <b v="0"/>
    <s v="technology/wearables"/>
    <x v="2"/>
    <x v="8"/>
  </r>
  <r>
    <s v="Mcclain LLC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s v="theater/plays"/>
    <x v="3"/>
    <x v="3"/>
  </r>
  <r>
    <s v="Sims-Gross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s v="technology/wearables"/>
    <x v="2"/>
    <x v="8"/>
  </r>
  <r>
    <s v="Perez Group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s v="publishing/translations"/>
    <x v="5"/>
    <x v="18"/>
  </r>
  <r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s v="Ford LLC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s v="publishing/nonfiction"/>
    <x v="5"/>
    <x v="9"/>
  </r>
  <r>
    <s v="Moreno Ltd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s v="technology/web"/>
    <x v="2"/>
    <x v="2"/>
  </r>
  <r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s v="film &amp; video/drama"/>
    <x v="4"/>
    <x v="6"/>
  </r>
  <r>
    <s v="Ortega LLC"/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s v="theater/plays"/>
    <x v="3"/>
    <x v="3"/>
  </r>
  <r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s v="theater/plays"/>
    <x v="3"/>
    <x v="3"/>
  </r>
  <r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s v="theater/plays"/>
    <x v="3"/>
    <x v="3"/>
  </r>
  <r>
    <s v="Anderson LLC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s v="theater/plays"/>
    <x v="3"/>
    <x v="3"/>
  </r>
  <r>
    <s v="Garza-Bryant"/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s v="theater/plays"/>
    <x v="3"/>
    <x v="3"/>
  </r>
  <r>
    <s v="Mays LLC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s v="Evans-Jones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s v="music/rock"/>
    <x v="1"/>
    <x v="1"/>
  </r>
  <r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s v="games/mobile games"/>
    <x v="6"/>
    <x v="20"/>
  </r>
  <r>
    <s v="Tapia, Kramer and Hicks"/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s v="theater/plays"/>
    <x v="3"/>
    <x v="3"/>
  </r>
  <r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s v="Reyes PLC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s v="technology/wearables"/>
    <x v="2"/>
    <x v="8"/>
  </r>
  <r>
    <s v="Pace, Simpson and Watkins"/>
    <s v="Down-sized uniform ability"/>
    <n v="6900"/>
    <n v="10557"/>
    <n v="1.53"/>
    <x v="1"/>
    <n v="123"/>
    <n v="85.829268292682926"/>
    <x v="1"/>
    <s v="USD"/>
    <n v="1338267600"/>
    <n v="1339218000"/>
    <b v="0"/>
    <b v="0"/>
    <s v="publishing/fiction"/>
    <x v="5"/>
    <x v="13"/>
  </r>
  <r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s v="theater/plays"/>
    <x v="3"/>
    <x v="3"/>
  </r>
  <r>
    <s v="Dominguez-Owens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s v="music/rock"/>
    <x v="1"/>
    <x v="1"/>
  </r>
  <r>
    <s v="Thomas-Simmons"/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s v="film &amp; video/documentary"/>
    <x v="4"/>
    <x v="4"/>
  </r>
  <r>
    <s v="Beck-Knight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s v="theater/plays"/>
    <x v="3"/>
    <x v="3"/>
  </r>
  <r>
    <s v="Mccoy Ltd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s v="theater/plays"/>
    <x v="3"/>
    <x v="3"/>
  </r>
  <r>
    <s v="Dawson-Tyler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s v="games/mobile games"/>
    <x v="6"/>
    <x v="20"/>
  </r>
  <r>
    <s v="Johns-Thomas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s v="theater/plays"/>
    <x v="3"/>
    <x v="3"/>
  </r>
  <r>
    <s v="Quinn, Cruz and Schmidt"/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s v="technology/web"/>
    <x v="2"/>
    <x v="2"/>
  </r>
  <r>
    <s v="Stewart Inc"/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s v="theater/plays"/>
    <x v="3"/>
    <x v="3"/>
  </r>
  <r>
    <s v="Moore Group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s v="film &amp; video/drama"/>
    <x v="4"/>
    <x v="6"/>
  </r>
  <r>
    <s v="Carson PLC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s v="technology/wearables"/>
    <x v="2"/>
    <x v="8"/>
  </r>
  <r>
    <s v="Cruz, Hall and Mason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s v="technology/web"/>
    <x v="2"/>
    <x v="2"/>
  </r>
  <r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s v="music/rock"/>
    <x v="1"/>
    <x v="1"/>
  </r>
  <r>
    <s v="Marquez-Kerr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s v="music/metal"/>
    <x v="1"/>
    <x v="16"/>
  </r>
  <r>
    <s v="Stone PLC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s v="theater/plays"/>
    <x v="3"/>
    <x v="3"/>
  </r>
  <r>
    <s v="Caldwell PLC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s v="Silva-Hawkins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s v="publishing/nonfiction"/>
    <x v="5"/>
    <x v="9"/>
  </r>
  <r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s v="music/indie rock"/>
    <x v="1"/>
    <x v="7"/>
  </r>
  <r>
    <s v="Garcia Group"/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s v="theater/plays"/>
    <x v="3"/>
    <x v="3"/>
  </r>
  <r>
    <s v="Meyer-Avila"/>
    <s v="Multi-tiered discrete support"/>
    <n v="10000"/>
    <n v="6100"/>
    <n v="0.61"/>
    <x v="0"/>
    <n v="191"/>
    <n v="31.937172774869111"/>
    <x v="1"/>
    <s v="USD"/>
    <n v="1340946000"/>
    <n v="1341032400"/>
    <b v="0"/>
    <b v="0"/>
    <s v="music/indie rock"/>
    <x v="1"/>
    <x v="7"/>
  </r>
  <r>
    <s v="Nelson, Smith and Graham"/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s v="theater/plays"/>
    <x v="3"/>
    <x v="3"/>
  </r>
  <r>
    <s v="Garcia Ltd"/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s v="theater/plays"/>
    <x v="3"/>
    <x v="3"/>
  </r>
  <r>
    <s v="West-Stevens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s v="music/electric music"/>
    <x v="1"/>
    <x v="5"/>
  </r>
  <r>
    <s v="Clark-Conrad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s v="theater/plays"/>
    <x v="3"/>
    <x v="3"/>
  </r>
  <r>
    <s v="Fitzgerald Group"/>
    <s v="Intuitive exuding initiative"/>
    <n v="2000"/>
    <n v="14240"/>
    <n v="7.12"/>
    <x v="1"/>
    <n v="140"/>
    <n v="101.71428571428571"/>
    <x v="1"/>
    <s v="USD"/>
    <n v="1533877200"/>
    <n v="1534050000"/>
    <b v="0"/>
    <b v="1"/>
    <s v="theater/plays"/>
    <x v="3"/>
    <x v="3"/>
  </r>
  <r>
    <s v="Hill, Mccann and Moore"/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s v="technology/wearables"/>
    <x v="2"/>
    <x v="8"/>
  </r>
  <r>
    <s v="Edwards LLC"/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s v="technology/web"/>
    <x v="2"/>
    <x v="2"/>
  </r>
  <r>
    <s v="Greer and Sons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s v="theater/plays"/>
    <x v="3"/>
    <x v="3"/>
  </r>
  <r>
    <s v="Martinez PLC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s v="film &amp; video/animation"/>
    <x v="4"/>
    <x v="10"/>
  </r>
  <r>
    <s v="Hunter-Logan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s v="technology/wearables"/>
    <x v="2"/>
    <x v="8"/>
  </r>
  <r>
    <s v="Ramos and Sons"/>
    <s v="Extended responsive Internet solution"/>
    <n v="100"/>
    <n v="1"/>
    <n v="0.01"/>
    <x v="0"/>
    <n v="1"/>
    <n v="1"/>
    <x v="4"/>
    <s v="GBP"/>
    <n v="1277960400"/>
    <n v="1280120400"/>
    <b v="0"/>
    <b v="0"/>
    <s v="music/electric music"/>
    <x v="1"/>
    <x v="5"/>
  </r>
  <r>
    <s v="Lane-Barber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s v="publishing/nonfiction"/>
    <x v="5"/>
    <x v="9"/>
  </r>
  <r>
    <s v="Lowery Group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s v="theater/plays"/>
    <x v="3"/>
    <x v="3"/>
  </r>
  <r>
    <s v="Guerrero-Griffin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s v="photography/photography books"/>
    <x v="7"/>
    <x v="14"/>
  </r>
  <r>
    <s v="Perez, Reed and Lee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s v="theater/plays"/>
    <x v="3"/>
    <x v="3"/>
  </r>
  <r>
    <s v="Chen, Pollard and Clarke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s v="theater/plays"/>
    <x v="3"/>
    <x v="3"/>
  </r>
  <r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s v="theater/plays"/>
    <x v="3"/>
    <x v="3"/>
  </r>
  <r>
    <s v="Callahan-Gilbert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s v="film &amp; video/drama"/>
    <x v="4"/>
    <x v="6"/>
  </r>
  <r>
    <s v="Logan-Miranda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s v="music/rock"/>
    <x v="1"/>
    <x v="1"/>
  </r>
  <r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s v="music/electric music"/>
    <x v="1"/>
    <x v="5"/>
  </r>
  <r>
    <s v="Smith-Kennedy"/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s v="games/video games"/>
    <x v="6"/>
    <x v="11"/>
  </r>
  <r>
    <s v="Mitchell-Lee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s v="music/rock"/>
    <x v="1"/>
    <x v="1"/>
  </r>
  <r>
    <s v="Davis Ltd"/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s v="music/jazz"/>
    <x v="1"/>
    <x v="17"/>
  </r>
  <r>
    <s v="Rowland PLC"/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s v="theater/plays"/>
    <x v="3"/>
    <x v="3"/>
  </r>
  <r>
    <s v="Shaffer-Mason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s v="music/rock"/>
    <x v="1"/>
    <x v="1"/>
  </r>
  <r>
    <s v="Matthews LLC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s v="music/indie rock"/>
    <x v="1"/>
    <x v="7"/>
  </r>
  <r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s v="film &amp; video/science fiction"/>
    <x v="4"/>
    <x v="22"/>
  </r>
  <r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s v="publishing/translations"/>
    <x v="5"/>
    <x v="18"/>
  </r>
  <r>
    <s v="Ramirez-Calderon"/>
    <s v="Fundamental zero tolerance alliance"/>
    <n v="4800"/>
    <n v="11088"/>
    <n v="2.31"/>
    <x v="1"/>
    <n v="150"/>
    <n v="73.92"/>
    <x v="1"/>
    <s v="USD"/>
    <n v="1386741600"/>
    <n v="1388037600"/>
    <b v="0"/>
    <b v="0"/>
    <s v="theater/plays"/>
    <x v="3"/>
    <x v="3"/>
  </r>
  <r>
    <s v="Johnson-Morales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s v="games/video games"/>
    <x v="6"/>
    <x v="11"/>
  </r>
  <r>
    <s v="Mathis-Rodriguez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s v="theater/plays"/>
    <x v="3"/>
    <x v="3"/>
  </r>
  <r>
    <s v="Smith, Mack and Williams"/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s v="theater/plays"/>
    <x v="3"/>
    <x v="3"/>
  </r>
  <r>
    <s v="Johnson-Pace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s v="music/indie rock"/>
    <x v="1"/>
    <x v="7"/>
  </r>
  <r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s v="theater/plays"/>
    <x v="3"/>
    <x v="3"/>
  </r>
  <r>
    <s v="Gonzalez-Snow"/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s v="technology/web"/>
    <x v="2"/>
    <x v="2"/>
  </r>
  <r>
    <s v="Murphy LLC"/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s v="music/rock"/>
    <x v="1"/>
    <x v="1"/>
  </r>
  <r>
    <s v="Taylor-Rowe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s v="theater/plays"/>
    <x v="3"/>
    <x v="3"/>
  </r>
  <r>
    <s v="Henderson Ltd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s v="theater/plays"/>
    <x v="3"/>
    <x v="3"/>
  </r>
  <r>
    <s v="Moss-Guzman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s v="film &amp; video/animation"/>
    <x v="4"/>
    <x v="10"/>
  </r>
  <r>
    <s v="Webb Group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s v="theater/plays"/>
    <x v="3"/>
    <x v="3"/>
  </r>
  <r>
    <s v="Brooks-Rodriguez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s v="film &amp; video/drama"/>
    <x v="4"/>
    <x v="6"/>
  </r>
  <r>
    <s v="Thomas Ltd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s v="theater/plays"/>
    <x v="3"/>
    <x v="3"/>
  </r>
  <r>
    <s v="Williams and Sons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s v="film &amp; video/animation"/>
    <x v="4"/>
    <x v="10"/>
  </r>
  <r>
    <s v="Vega, Chan and Carney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s v="music/rock"/>
    <x v="1"/>
    <x v="1"/>
  </r>
  <r>
    <s v="Byrd Group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s v="technology/web"/>
    <x v="2"/>
    <x v="2"/>
  </r>
  <r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s v="film &amp; video/animation"/>
    <x v="4"/>
    <x v="10"/>
  </r>
  <r>
    <s v="Smith-Brown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s v="music/jazz"/>
    <x v="1"/>
    <x v="17"/>
  </r>
  <r>
    <s v="Vance-Glover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s v="music/rock"/>
    <x v="1"/>
    <x v="1"/>
  </r>
  <r>
    <s v="Joyce PLC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s v="Kennedy-Miller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s v="theater/plays"/>
    <x v="3"/>
    <x v="3"/>
  </r>
  <r>
    <s v="White-Obrien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s v="theater/plays"/>
    <x v="3"/>
    <x v="3"/>
  </r>
  <r>
    <s v="Stafford, Hess and Raymond"/>
    <s v="Optional web-enabled extranet"/>
    <n v="2100"/>
    <n v="540"/>
    <n v="0.25714285714285712"/>
    <x v="0"/>
    <n v="6"/>
    <n v="90"/>
    <x v="1"/>
    <s v="USD"/>
    <n v="1481436000"/>
    <n v="1482818400"/>
    <b v="0"/>
    <b v="0"/>
    <s v="food/food trucks"/>
    <x v="0"/>
    <x v="0"/>
  </r>
  <r>
    <s v="Jordan, Schneider and Hall"/>
    <s v="Reduced 6thgeneration intranet"/>
    <n v="2000"/>
    <n v="680"/>
    <n v="0.34"/>
    <x v="0"/>
    <n v="7"/>
    <n v="97.142857142857139"/>
    <x v="1"/>
    <s v="USD"/>
    <n v="1372222800"/>
    <n v="1374642000"/>
    <b v="0"/>
    <b v="1"/>
    <s v="theater/plays"/>
    <x v="3"/>
    <x v="3"/>
  </r>
  <r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s v="publishing/nonfiction"/>
    <x v="5"/>
    <x v="9"/>
  </r>
  <r>
    <s v="Welch Inc"/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s v="music/rock"/>
    <x v="1"/>
    <x v="1"/>
  </r>
  <r>
    <s v="Vasquez Inc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s v="film &amp; video/drama"/>
    <x v="4"/>
    <x v="6"/>
  </r>
  <r>
    <s v="Freeman-Ferguson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s v="games/mobile games"/>
    <x v="6"/>
    <x v="20"/>
  </r>
  <r>
    <s v="Houston, Moore and Rogers"/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s v="technology/web"/>
    <x v="2"/>
    <x v="2"/>
  </r>
  <r>
    <s v="Small-Fuentes"/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s v="theater/plays"/>
    <x v="3"/>
    <x v="3"/>
  </r>
  <r>
    <s v="Reid-Day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s v="theater/plays"/>
    <x v="3"/>
    <x v="3"/>
  </r>
  <r>
    <s v="Wallace LLC"/>
    <s v="Centralized regional function"/>
    <n v="100"/>
    <n v="1"/>
    <n v="0.01"/>
    <x v="0"/>
    <n v="1"/>
    <n v="1"/>
    <x v="5"/>
    <s v="CHF"/>
    <n v="1434085200"/>
    <n v="1434430800"/>
    <b v="0"/>
    <b v="0"/>
    <s v="music/rock"/>
    <x v="1"/>
    <x v="1"/>
  </r>
  <r>
    <s v="Olson-Bishop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s v="photography/photography books"/>
    <x v="7"/>
    <x v="14"/>
  </r>
  <r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s v="photography/photography books"/>
    <x v="7"/>
    <x v="14"/>
  </r>
  <r>
    <s v="Perez, Brown and Meyers"/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s v="theater/plays"/>
    <x v="3"/>
    <x v="3"/>
  </r>
  <r>
    <s v="English-Mccullough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s v="music/rock"/>
    <x v="1"/>
    <x v="1"/>
  </r>
  <r>
    <s v="Smith-Nguyen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s v="film &amp; video/documentary"/>
    <x v="4"/>
    <x v="4"/>
  </r>
  <r>
    <s v="Harmon-Madden"/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s v="film &amp; video/drama"/>
    <x v="4"/>
    <x v="6"/>
  </r>
  <r>
    <s v="Walker-Taylor"/>
    <s v="Automated uniform concept"/>
    <n v="700"/>
    <n v="1848"/>
    <n v="2.64"/>
    <x v="1"/>
    <n v="43"/>
    <n v="42.97674418604651"/>
    <x v="1"/>
    <s v="USD"/>
    <n v="1571115600"/>
    <n v="1574920800"/>
    <b v="0"/>
    <b v="1"/>
    <s v="theater/plays"/>
    <x v="3"/>
    <x v="3"/>
  </r>
  <r>
    <s v="Harris, Medina and Mitchell"/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s v="food/food trucks"/>
    <x v="0"/>
    <x v="0"/>
  </r>
  <r>
    <s v="Williams and Sons"/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s v="film &amp; video/documentary"/>
    <x v="4"/>
    <x v="4"/>
  </r>
  <r>
    <s v="Ball-Fisher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s v="theater/plays"/>
    <x v="3"/>
    <x v="3"/>
  </r>
  <r>
    <s v="Page, Holt and Mack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s v="games/video games"/>
    <x v="6"/>
    <x v="11"/>
  </r>
  <r>
    <s v="Landry Group"/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s v="publishing/nonfiction"/>
    <x v="5"/>
    <x v="9"/>
  </r>
  <r>
    <s v="Buckley Group"/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s v="games/video games"/>
    <x v="6"/>
    <x v="11"/>
  </r>
  <r>
    <s v="Vincent PLC"/>
    <s v="Visionary 24hour analyzer"/>
    <n v="3200"/>
    <n v="2950"/>
    <n v="0.921875"/>
    <x v="0"/>
    <n v="36"/>
    <n v="81.944444444444443"/>
    <x v="3"/>
    <s v="DKK"/>
    <n v="1464325200"/>
    <n v="1464498000"/>
    <b v="0"/>
    <b v="1"/>
    <s v="music/rock"/>
    <x v="1"/>
    <x v="1"/>
  </r>
  <r>
    <s v="Watson-Douglas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s v="music/rock"/>
    <x v="1"/>
    <x v="1"/>
  </r>
  <r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s v="theater/plays"/>
    <x v="3"/>
    <x v="3"/>
  </r>
  <r>
    <s v="Alvarez-Bauer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s v="publishing/nonfiction"/>
    <x v="5"/>
    <x v="9"/>
  </r>
  <r>
    <s v="Martinez LLC"/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s v="theater/plays"/>
    <x v="3"/>
    <x v="3"/>
  </r>
  <r>
    <s v="Buck-Khan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s v="games/video games"/>
    <x v="6"/>
    <x v="11"/>
  </r>
  <r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s v="music/rock"/>
    <x v="1"/>
    <x v="1"/>
  </r>
  <r>
    <s v="Alvarez-Andrews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s v="Stewart and Sons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s v="music/rock"/>
    <x v="1"/>
    <x v="1"/>
  </r>
  <r>
    <s v="Dyer Inc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s v="music/rock"/>
    <x v="1"/>
    <x v="1"/>
  </r>
  <r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s v="publishing/nonfiction"/>
    <x v="5"/>
    <x v="9"/>
  </r>
  <r>
    <s v="Solomon PLC"/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s v="film &amp; video/shorts"/>
    <x v="4"/>
    <x v="12"/>
  </r>
  <r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s v="theater/plays"/>
    <x v="3"/>
    <x v="3"/>
  </r>
  <r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s v="film &amp; video/drama"/>
    <x v="4"/>
    <x v="6"/>
  </r>
  <r>
    <s v="Munoz, Cherry and Bell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s v="theater/plays"/>
    <x v="3"/>
    <x v="3"/>
  </r>
  <r>
    <s v="Baker-Higgins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s v="theater/plays"/>
    <x v="3"/>
    <x v="3"/>
  </r>
  <r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s v="theater/plays"/>
    <x v="3"/>
    <x v="3"/>
  </r>
  <r>
    <s v="Ward PLC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s v="photography/photography books"/>
    <x v="7"/>
    <x v="14"/>
  </r>
  <r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s v="publishing/translations"/>
    <x v="5"/>
    <x v="18"/>
  </r>
  <r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s v="publishing/translations"/>
    <x v="5"/>
    <x v="18"/>
  </r>
  <r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s v="theater/plays"/>
    <x v="3"/>
    <x v="3"/>
  </r>
  <r>
    <s v="Hodges, Smith and Kelly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s v="technology/web"/>
    <x v="2"/>
    <x v="2"/>
  </r>
  <r>
    <s v="Macias Inc"/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s v="music/indie rock"/>
    <x v="1"/>
    <x v="7"/>
  </r>
  <r>
    <s v="Cook-Ortiz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s v="music/jazz"/>
    <x v="1"/>
    <x v="17"/>
  </r>
  <r>
    <s v="Jordan-Fischer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s v="theater/plays"/>
    <x v="3"/>
    <x v="3"/>
  </r>
  <r>
    <s v="Pierce-Ramirez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s v="Howell and Sons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s v="theater/plays"/>
    <x v="3"/>
    <x v="3"/>
  </r>
  <r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s v="technology/web"/>
    <x v="2"/>
    <x v="2"/>
  </r>
  <r>
    <s v="Lawson and Sons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s v="technology/wearables"/>
    <x v="2"/>
    <x v="8"/>
  </r>
  <r>
    <s v="Porter-Hicks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s v="photography/photography books"/>
    <x v="7"/>
    <x v="14"/>
  </r>
  <r>
    <s v="Rodriguez-Hansen"/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s v="film &amp; video/documentary"/>
    <x v="4"/>
    <x v="4"/>
  </r>
  <r>
    <s v="Williams LLC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s v="technology/web"/>
    <x v="2"/>
    <x v="2"/>
  </r>
  <r>
    <s v="Cooper, Stanley and Bryant"/>
    <s v="Phased empowering success"/>
    <n v="1000"/>
    <n v="5085"/>
    <n v="5.085"/>
    <x v="1"/>
    <n v="48"/>
    <n v="105.9375"/>
    <x v="1"/>
    <s v="USD"/>
    <n v="1532149200"/>
    <n v="1535259600"/>
    <b v="1"/>
    <b v="1"/>
    <s v="technology/web"/>
    <x v="2"/>
    <x v="2"/>
  </r>
  <r>
    <s v="Miller, Glenn and Adams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s v="food/food trucks"/>
    <x v="0"/>
    <x v="0"/>
  </r>
  <r>
    <s v="Cole, Salazar and Moreno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s v="film &amp; video/drama"/>
    <x v="4"/>
    <x v="6"/>
  </r>
  <r>
    <s v="Jones-Ryan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s v="music/indie rock"/>
    <x v="1"/>
    <x v="7"/>
  </r>
  <r>
    <s v="Hood, Perez and Meadows"/>
    <s v="Cross-group upward-trending hierarchy"/>
    <n v="100"/>
    <n v="1"/>
    <n v="0.01"/>
    <x v="0"/>
    <n v="1"/>
    <n v="1"/>
    <x v="1"/>
    <s v="USD"/>
    <n v="1321682400"/>
    <n v="1322978400"/>
    <b v="1"/>
    <b v="0"/>
    <s v="music/rock"/>
    <x v="1"/>
    <x v="1"/>
  </r>
  <r>
    <s v="Bright and Sons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s v="music/electric music"/>
    <x v="1"/>
    <x v="5"/>
  </r>
  <r>
    <s v="Brady Ltd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s v="games/video games"/>
    <x v="6"/>
    <x v="11"/>
  </r>
  <r>
    <s v="Collier LLC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s v="music/indie rock"/>
    <x v="1"/>
    <x v="7"/>
  </r>
  <r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s v="publishing/fiction"/>
    <x v="5"/>
    <x v="13"/>
  </r>
  <r>
    <s v="Moses-Terry"/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s v="theater/plays"/>
    <x v="3"/>
    <x v="3"/>
  </r>
  <r>
    <s v="Williams and Sons"/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s v="food/food trucks"/>
    <x v="0"/>
    <x v="0"/>
  </r>
  <r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s v="film &amp; video/shorts"/>
    <x v="4"/>
    <x v="12"/>
  </r>
  <r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s v="food/food trucks"/>
    <x v="0"/>
    <x v="0"/>
  </r>
  <r>
    <s v="Martinez Ltd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s v="theater/plays"/>
    <x v="3"/>
    <x v="3"/>
  </r>
  <r>
    <s v="Lee PLC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s v="technology/wearables"/>
    <x v="2"/>
    <x v="8"/>
  </r>
  <r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s v="theater/plays"/>
    <x v="3"/>
    <x v="3"/>
  </r>
  <r>
    <s v="Lewis and Sons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s v="theater/plays"/>
    <x v="3"/>
    <x v="3"/>
  </r>
  <r>
    <s v="Davis-Johnson"/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s v="film &amp; video/television"/>
    <x v="4"/>
    <x v="19"/>
  </r>
  <r>
    <s v="Stevenson-Thompson"/>
    <s v="Automated static workforce"/>
    <n v="4200"/>
    <n v="14577"/>
    <n v="3.4707142857142856"/>
    <x v="1"/>
    <n v="150"/>
    <n v="97.18"/>
    <x v="1"/>
    <s v="USD"/>
    <n v="1471582800"/>
    <n v="1472014800"/>
    <b v="0"/>
    <b v="0"/>
    <s v="film &amp; video/shorts"/>
    <x v="4"/>
    <x v="12"/>
  </r>
  <r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s v="theater/plays"/>
    <x v="3"/>
    <x v="3"/>
  </r>
  <r>
    <s v="Jackson-Brown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s v="photography/photography books"/>
    <x v="7"/>
    <x v="14"/>
  </r>
  <r>
    <s v="Kane, Pruitt and Rivera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s v="food/food trucks"/>
    <x v="0"/>
    <x v="0"/>
  </r>
  <r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s v="theater/plays"/>
    <x v="3"/>
    <x v="3"/>
  </r>
  <r>
    <s v="Brown-Williams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s v="film &amp; video/drama"/>
    <x v="4"/>
    <x v="6"/>
  </r>
  <r>
    <s v="Hansen-Austin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s v="theater/plays"/>
    <x v="3"/>
    <x v="3"/>
  </r>
  <r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s v="theater/plays"/>
    <x v="3"/>
    <x v="3"/>
  </r>
  <r>
    <s v="Davis LLC"/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s v="film &amp; video/science fiction"/>
    <x v="4"/>
    <x v="22"/>
  </r>
  <r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s v="Chung-Nguyen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s v="photography/photography books"/>
    <x v="7"/>
    <x v="14"/>
  </r>
  <r>
    <s v="Mueller-Harmon"/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s v="music/rock"/>
    <x v="1"/>
    <x v="1"/>
  </r>
  <r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s v="Estrada Group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s v="food/food trucks"/>
    <x v="0"/>
    <x v="0"/>
  </r>
  <r>
    <s v="Lutz Group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s v="music/metal"/>
    <x v="1"/>
    <x v="16"/>
  </r>
  <r>
    <s v="Ortiz Inc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s v="publishing/nonfiction"/>
    <x v="5"/>
    <x v="9"/>
  </r>
  <r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s v="music/electric music"/>
    <x v="1"/>
    <x v="5"/>
  </r>
  <r>
    <s v="Charles Inc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s v="theater/plays"/>
    <x v="3"/>
    <x v="3"/>
  </r>
  <r>
    <s v="White-Rosario"/>
    <s v="Balanced demand-driven definition"/>
    <n v="800"/>
    <n v="2960"/>
    <n v="3.7"/>
    <x v="1"/>
    <n v="80"/>
    <n v="37"/>
    <x v="1"/>
    <s v="USD"/>
    <n v="1421820000"/>
    <n v="1422165600"/>
    <b v="0"/>
    <b v="0"/>
    <s v="theater/plays"/>
    <x v="3"/>
    <x v="3"/>
  </r>
  <r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s v="film &amp; video/shorts"/>
    <x v="4"/>
    <x v="12"/>
  </r>
  <r>
    <s v="Strickland Group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s v="theater/plays"/>
    <x v="3"/>
    <x v="3"/>
  </r>
  <r>
    <s v="Lynch Ltd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s v="theater/plays"/>
    <x v="3"/>
    <x v="3"/>
  </r>
  <r>
    <s v="Sanders LLC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s v="music/indie rock"/>
    <x v="1"/>
    <x v="7"/>
  </r>
  <r>
    <s v="Cooper LLC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s v="theater/plays"/>
    <x v="3"/>
    <x v="3"/>
  </r>
  <r>
    <s v="Palmer Ltd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s v="theater/plays"/>
    <x v="3"/>
    <x v="3"/>
  </r>
  <r>
    <s v="Santos Group"/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s v="music/electric music"/>
    <x v="1"/>
    <x v="5"/>
  </r>
  <r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s v="music/indie rock"/>
    <x v="1"/>
    <x v="7"/>
  </r>
  <r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s v="film &amp; video/documentary"/>
    <x v="4"/>
    <x v="4"/>
  </r>
  <r>
    <s v="Anderson, Parks and Estrada"/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s v="publishing/translations"/>
    <x v="5"/>
    <x v="18"/>
  </r>
  <r>
    <s v="Collins-Martinez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s v="film &amp; video/documentary"/>
    <x v="4"/>
    <x v="4"/>
  </r>
  <r>
    <s v="Barrett Inc"/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s v="film &amp; video/television"/>
    <x v="4"/>
    <x v="19"/>
  </r>
  <r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s v="theater/plays"/>
    <x v="3"/>
    <x v="3"/>
  </r>
  <r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s v="food/food trucks"/>
    <x v="0"/>
    <x v="0"/>
  </r>
  <r>
    <s v="Berry-Cannon"/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s v="theater/plays"/>
    <x v="3"/>
    <x v="3"/>
  </r>
  <r>
    <s v="Davis-Gonzalez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s v="film &amp; video/documentary"/>
    <x v="4"/>
    <x v="4"/>
  </r>
  <r>
    <s v="Best-Young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s v="music/jazz"/>
    <x v="1"/>
    <x v="17"/>
  </r>
  <r>
    <s v="Powers, Smith and Deleon"/>
    <s v="Enhanced uniform service-desk"/>
    <n v="100"/>
    <n v="2"/>
    <n v="0.02"/>
    <x v="0"/>
    <n v="1"/>
    <n v="2"/>
    <x v="1"/>
    <s v="USD"/>
    <n v="1411102800"/>
    <n v="1411189200"/>
    <b v="0"/>
    <b v="1"/>
    <s v="technology/web"/>
    <x v="2"/>
    <x v="2"/>
  </r>
  <r>
    <s v="Hogan Group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s v="music/rock"/>
    <x v="1"/>
    <x v="1"/>
  </r>
  <r>
    <s v="Wang, Silva and Byrd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s v="technology/web"/>
    <x v="2"/>
    <x v="2"/>
  </r>
  <r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s v="publishing/nonfiction"/>
    <x v="5"/>
    <x v="9"/>
  </r>
  <r>
    <s v="Rodriguez, Johnson and Jackson"/>
    <s v="Digitized foreground array"/>
    <n v="6500"/>
    <n v="795"/>
    <n v="0.12230769230769231"/>
    <x v="0"/>
    <n v="16"/>
    <n v="49.6875"/>
    <x v="1"/>
    <s v="USD"/>
    <n v="1349326800"/>
    <n v="1349672400"/>
    <b v="0"/>
    <b v="0"/>
    <s v="publishing/radio &amp; podcasts"/>
    <x v="5"/>
    <x v="15"/>
  </r>
  <r>
    <s v="Haynes PLC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s v="theater/plays"/>
    <x v="3"/>
    <x v="3"/>
  </r>
  <r>
    <s v="Hayes Group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s v="film &amp; video/documentary"/>
    <x v="4"/>
    <x v="4"/>
  </r>
  <r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s v="theater/plays"/>
    <x v="3"/>
    <x v="3"/>
  </r>
  <r>
    <s v="Bryant-Pope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s v="games/video games"/>
    <x v="6"/>
    <x v="11"/>
  </r>
  <r>
    <s v="Gates, Li and Thompson"/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s v="theater/plays"/>
    <x v="3"/>
    <x v="3"/>
  </r>
  <r>
    <s v="King-Morris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s v="theater/plays"/>
    <x v="3"/>
    <x v="3"/>
  </r>
  <r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s v="technology/web"/>
    <x v="2"/>
    <x v="2"/>
  </r>
  <r>
    <s v="Sanchez-Parsons"/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s v="film &amp; video/drama"/>
    <x v="4"/>
    <x v="6"/>
  </r>
  <r>
    <s v="Rivera-Pearson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s v="film &amp; video/drama"/>
    <x v="4"/>
    <x v="6"/>
  </r>
  <r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s v="theater/plays"/>
    <x v="3"/>
    <x v="3"/>
  </r>
  <r>
    <s v="Riggs Group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s v="Clements Ltd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s v="Cooper Inc"/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s v="film &amp; video/shorts"/>
    <x v="4"/>
    <x v="12"/>
  </r>
  <r>
    <s v="Jones-Gonzalez"/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s v="Fox Ltd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s v="theater/plays"/>
    <x v="3"/>
    <x v="3"/>
  </r>
  <r>
    <s v="Green, Murphy and Webb"/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s v="Stevenson PLC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s v="technology/web"/>
    <x v="2"/>
    <x v="2"/>
  </r>
  <r>
    <s v="Soto-Anthony"/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s v="music/world music"/>
    <x v="1"/>
    <x v="21"/>
  </r>
  <r>
    <s v="Wise and Sons"/>
    <s v="Sharable discrete definition"/>
    <n v="1700"/>
    <n v="4044"/>
    <n v="2.3788235294117648"/>
    <x v="1"/>
    <n v="40"/>
    <n v="101.1"/>
    <x v="1"/>
    <s v="USD"/>
    <n v="1279083600"/>
    <n v="1279170000"/>
    <b v="0"/>
    <b v="0"/>
    <s v="theater/plays"/>
    <x v="3"/>
    <x v="3"/>
  </r>
  <r>
    <s v="Butler-Barr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s v="theater/plays"/>
    <x v="3"/>
    <x v="3"/>
  </r>
  <r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s v="theater/plays"/>
    <x v="3"/>
    <x v="3"/>
  </r>
  <r>
    <s v="Brown-Oliver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s v="food/food trucks"/>
    <x v="0"/>
    <x v="0"/>
  </r>
  <r>
    <s v="Davis-Gardner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s v="theater/plays"/>
    <x v="3"/>
    <x v="3"/>
  </r>
  <r>
    <s v="Dawson Group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s v="technology/web"/>
    <x v="2"/>
    <x v="2"/>
  </r>
  <r>
    <s v="Turner-Terrell"/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s v="theater/plays"/>
    <x v="3"/>
    <x v="3"/>
  </r>
  <r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s v="theater/plays"/>
    <x v="3"/>
    <x v="3"/>
  </r>
  <r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s v="theater/plays"/>
    <x v="3"/>
    <x v="3"/>
  </r>
  <r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s v="music/rock"/>
    <x v="1"/>
    <x v="1"/>
  </r>
  <r>
    <s v="Espinoza Group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s v="theater/plays"/>
    <x v="3"/>
    <x v="3"/>
  </r>
  <r>
    <s v="Davis, Crawford and Lopez"/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s v="theater/plays"/>
    <x v="3"/>
    <x v="3"/>
  </r>
  <r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s v="theater/plays"/>
    <x v="3"/>
    <x v="3"/>
  </r>
  <r>
    <s v="Brown Ltd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s v="theater/plays"/>
    <x v="3"/>
    <x v="3"/>
  </r>
  <r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s v="film &amp; video/documentary"/>
    <x v="4"/>
    <x v="4"/>
  </r>
  <r>
    <s v="Allen Inc"/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s v="publishing/fiction"/>
    <x v="5"/>
    <x v="13"/>
  </r>
  <r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s v="games/video games"/>
    <x v="6"/>
    <x v="11"/>
  </r>
  <r>
    <s v="Wiggins Ltd"/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s v="technology/web"/>
    <x v="2"/>
    <x v="2"/>
  </r>
  <r>
    <s v="Luna-Horne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s v="theater/plays"/>
    <x v="3"/>
    <x v="3"/>
  </r>
  <r>
    <s v="Allen Inc"/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s v="theater/plays"/>
    <x v="3"/>
    <x v="3"/>
  </r>
  <r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s v="food/food trucks"/>
    <x v="0"/>
    <x v="0"/>
  </r>
  <r>
    <s v="Walter Inc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s v="photography/photography books"/>
    <x v="7"/>
    <x v="14"/>
  </r>
  <r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s v="photography/photography books"/>
    <x v="7"/>
    <x v="14"/>
  </r>
  <r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s v="theater/plays"/>
    <x v="3"/>
    <x v="3"/>
  </r>
  <r>
    <s v="Smith-Powell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s v="theater/plays"/>
    <x v="3"/>
    <x v="3"/>
  </r>
  <r>
    <s v="Smith-Hill"/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s v="film &amp; video/documentary"/>
    <x v="4"/>
    <x v="4"/>
  </r>
  <r>
    <s v="Wright LLC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s v="technology/web"/>
    <x v="2"/>
    <x v="2"/>
  </r>
  <r>
    <s v="Williams, Orozco and Gomez"/>
    <s v="Persistent content-based methodology"/>
    <n v="100"/>
    <n v="5"/>
    <n v="0.05"/>
    <x v="0"/>
    <n v="1"/>
    <n v="5"/>
    <x v="1"/>
    <s v="USD"/>
    <n v="1555390800"/>
    <n v="1555822800"/>
    <b v="0"/>
    <b v="1"/>
    <s v="theater/plays"/>
    <x v="3"/>
    <x v="3"/>
  </r>
  <r>
    <s v="Peterson Ltd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s v="music/rock"/>
    <x v="1"/>
    <x v="1"/>
  </r>
  <r>
    <s v="Cummings-Hayes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s v="film &amp; video/documentary"/>
    <x v="4"/>
    <x v="4"/>
  </r>
  <r>
    <s v="Boyle Ltd"/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s v="film &amp; video/science fiction"/>
    <x v="4"/>
    <x v="22"/>
  </r>
  <r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s v="technology/web"/>
    <x v="2"/>
    <x v="2"/>
  </r>
  <r>
    <s v="Moss-Obrien"/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s v="theater/plays"/>
    <x v="3"/>
    <x v="3"/>
  </r>
  <r>
    <s v="Wood Inc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s v="film &amp; video/science fiction"/>
    <x v="4"/>
    <x v="22"/>
  </r>
  <r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s v="theater/plays"/>
    <x v="3"/>
    <x v="3"/>
  </r>
  <r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s v="film &amp; video/animation"/>
    <x v="4"/>
    <x v="10"/>
  </r>
  <r>
    <s v="Black-Graham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s v="publishing/translations"/>
    <x v="5"/>
    <x v="18"/>
  </r>
  <r>
    <s v="Robbins Group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s v="technology/web"/>
    <x v="2"/>
    <x v="2"/>
  </r>
  <r>
    <s v="Mason, Case and May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s v="publishing/translations"/>
    <x v="5"/>
    <x v="18"/>
  </r>
  <r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s v="food/food trucks"/>
    <x v="0"/>
    <x v="0"/>
  </r>
  <r>
    <s v="Rodriguez-Robinson"/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s v="photography/photography books"/>
    <x v="7"/>
    <x v="14"/>
  </r>
  <r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s v="theater/plays"/>
    <x v="3"/>
    <x v="3"/>
  </r>
  <r>
    <s v="Nunez-King"/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s v="music/rock"/>
    <x v="1"/>
    <x v="1"/>
  </r>
  <r>
    <s v="Davis and Sons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s v="theater/plays"/>
    <x v="3"/>
    <x v="3"/>
  </r>
  <r>
    <s v="Howard-Douglas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s v="music/world music"/>
    <x v="1"/>
    <x v="21"/>
  </r>
  <r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s v="food/food trucks"/>
    <x v="0"/>
    <x v="0"/>
  </r>
  <r>
    <s v="Lopez-King"/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s v="theater/plays"/>
    <x v="3"/>
    <x v="3"/>
  </r>
  <r>
    <s v="Glover-Nelson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s v="theater/plays"/>
    <x v="3"/>
    <x v="3"/>
  </r>
  <r>
    <s v="Garner and Sons"/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s v="film &amp; video/television"/>
    <x v="4"/>
    <x v="19"/>
  </r>
  <r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s v="technology/web"/>
    <x v="2"/>
    <x v="2"/>
  </r>
  <r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s v="theater/plays"/>
    <x v="3"/>
    <x v="3"/>
  </r>
  <r>
    <s v="Thomas, Clay and Mendoza"/>
    <s v="Multi-channeled reciprocal interface"/>
    <n v="800"/>
    <n v="2991"/>
    <n v="3.73875"/>
    <x v="1"/>
    <n v="32"/>
    <n v="93.46875"/>
    <x v="1"/>
    <s v="USD"/>
    <n v="1368853200"/>
    <n v="1368939600"/>
    <b v="0"/>
    <b v="0"/>
    <s v="music/indie rock"/>
    <x v="1"/>
    <x v="7"/>
  </r>
  <r>
    <s v="Ayala Group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s v="theater/plays"/>
    <x v="3"/>
    <x v="3"/>
  </r>
  <r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s v="theater/plays"/>
    <x v="3"/>
    <x v="3"/>
  </r>
  <r>
    <s v="Johnson Group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s v="food/food trucks"/>
    <x v="0"/>
    <x v="0"/>
  </r>
  <r>
    <s v="Bailey, Nguyen and Martinez"/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s v="games/video games"/>
    <x v="6"/>
    <x v="11"/>
  </r>
  <r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s v="theater/plays"/>
    <x v="3"/>
    <x v="3"/>
  </r>
  <r>
    <s v="Huff-Johnson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s v="publishing/nonfiction"/>
    <x v="5"/>
    <x v="9"/>
  </r>
  <r>
    <s v="Diaz-Little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s v="technology/web"/>
    <x v="2"/>
    <x v="2"/>
  </r>
  <r>
    <s v="Freeman-French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s v="film &amp; video/documentary"/>
    <x v="4"/>
    <x v="4"/>
  </r>
  <r>
    <s v="Beck-Weber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s v="film &amp; video/documentary"/>
    <x v="4"/>
    <x v="4"/>
  </r>
  <r>
    <s v="Lewis-Jacobson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s v="theater/plays"/>
    <x v="3"/>
    <x v="3"/>
  </r>
  <r>
    <s v="Logan-Curtis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s v="music/rock"/>
    <x v="1"/>
    <x v="1"/>
  </r>
  <r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s v="music/rock"/>
    <x v="1"/>
    <x v="1"/>
  </r>
  <r>
    <s v="Wilson Group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s v="film &amp; video/documentary"/>
    <x v="4"/>
    <x v="4"/>
  </r>
  <r>
    <s v="Gardner, Ryan and Gutierrez"/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s v="publishing/radio &amp; podcasts"/>
    <x v="5"/>
    <x v="15"/>
  </r>
  <r>
    <s v="Hernandez Inc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s v="publishing/translations"/>
    <x v="5"/>
    <x v="18"/>
  </r>
  <r>
    <s v="Ortiz-Roberts"/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s v="film &amp; video/drama"/>
    <x v="4"/>
    <x v="6"/>
  </r>
  <r>
    <s v="Ramirez LLC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s v="music/rock"/>
    <x v="1"/>
    <x v="1"/>
  </r>
  <r>
    <s v="Morrow Inc"/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s v="film &amp; video/drama"/>
    <x v="4"/>
    <x v="6"/>
  </r>
  <r>
    <s v="Erickson-Rogers"/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s v="photography/photography books"/>
    <x v="7"/>
    <x v="14"/>
  </r>
  <r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s v="publishing/translations"/>
    <x v="5"/>
    <x v="18"/>
  </r>
  <r>
    <s v="Manning-Hamilton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s v="food/food trucks"/>
    <x v="0"/>
    <x v="0"/>
  </r>
  <r>
    <s v="Butler LLC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s v="theater/plays"/>
    <x v="3"/>
    <x v="3"/>
  </r>
  <r>
    <s v="Ball LLC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s v="theater/plays"/>
    <x v="3"/>
    <x v="3"/>
  </r>
  <r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s v="music/indie rock"/>
    <x v="1"/>
    <x v="7"/>
  </r>
  <r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s v="food/food trucks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b v="0"/>
    <s v="food/food trucks"/>
    <x v="0"/>
    <s v="food trucks"/>
  </r>
  <r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  <s v="rock"/>
  </r>
  <r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  <s v="web"/>
  </r>
  <r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  <s v="rock"/>
  </r>
  <r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  <s v="plays"/>
  </r>
  <r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s v="plays"/>
  </r>
  <r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s v="documentary"/>
  </r>
  <r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  <s v="plays"/>
  </r>
  <r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  <s v="plays"/>
  </r>
  <r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s v="electric music"/>
  </r>
  <r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  <s v="drama"/>
  </r>
  <r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  <s v="plays"/>
  </r>
  <r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s v="drama"/>
  </r>
  <r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  <s v="indie rock"/>
  </r>
  <r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  <s v="indie rock"/>
  </r>
  <r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s v="wearables"/>
  </r>
  <r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  <s v="nonfiction"/>
  </r>
  <r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s v="animation"/>
  </r>
  <r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  <s v="plays"/>
  </r>
  <r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  <s v="plays"/>
  </r>
  <r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s v="drama"/>
  </r>
  <r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  <s v="plays"/>
  </r>
  <r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  <s v="plays"/>
  </r>
  <r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s v="documentary"/>
  </r>
  <r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s v="wearables"/>
  </r>
  <r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  <s v="video games"/>
  </r>
  <r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  <s v="plays"/>
  </r>
  <r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  <s v="rock"/>
  </r>
  <r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s v="plays"/>
  </r>
  <r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s v="shorts"/>
  </r>
  <r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s v="animation"/>
  </r>
  <r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  <s v="video games"/>
  </r>
  <r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s v="documentary"/>
  </r>
  <r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  <s v="plays"/>
  </r>
  <r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s v="documentary"/>
  </r>
  <r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s v="drama"/>
  </r>
  <r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  <s v="plays"/>
  </r>
  <r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s v="fiction"/>
  </r>
  <r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s v="photography books"/>
  </r>
  <r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  <s v="plays"/>
  </r>
  <r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s v="wearables"/>
  </r>
  <r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s v="rock"/>
  </r>
  <r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  <s v="food trucks"/>
  </r>
  <r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s v="radio &amp; podcasts"/>
  </r>
  <r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  <s v="fiction"/>
  </r>
  <r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  <s v="plays"/>
  </r>
  <r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s v="rock"/>
  </r>
  <r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  <s v="plays"/>
  </r>
  <r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  <s v="plays"/>
  </r>
  <r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  <s v="rock"/>
  </r>
  <r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  <s v="metal"/>
  </r>
  <r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s v="wearables"/>
  </r>
  <r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  <s v="plays"/>
  </r>
  <r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s v="drama"/>
  </r>
  <r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s v="wearables"/>
  </r>
  <r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  <s v="jazz"/>
  </r>
  <r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s v="wearables"/>
  </r>
  <r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s v="video games"/>
  </r>
  <r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  <s v="plays"/>
  </r>
  <r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  <s v="plays"/>
  </r>
  <r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s v="plays"/>
  </r>
  <r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  <s v="plays"/>
  </r>
  <r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  <s v="web"/>
  </r>
  <r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  <s v="plays"/>
  </r>
  <r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  <s v="web"/>
  </r>
  <r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s v="plays"/>
  </r>
  <r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  <s v="plays"/>
  </r>
  <r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s v="wearables"/>
  </r>
  <r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s v="plays"/>
  </r>
  <r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  <s v="plays"/>
  </r>
  <r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s v="plays"/>
  </r>
  <r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  <s v="plays"/>
  </r>
  <r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s v="animation"/>
  </r>
  <r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  <s v="jazz"/>
  </r>
  <r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s v="metal"/>
  </r>
  <r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s v="photography books"/>
  </r>
  <r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  <s v="plays"/>
  </r>
  <r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s v="animation"/>
  </r>
  <r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s v="translations"/>
  </r>
  <r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  <s v="plays"/>
  </r>
  <r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s v="video games"/>
  </r>
  <r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  <s v="rock"/>
  </r>
  <r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  <s v="video games"/>
  </r>
  <r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s v="electric music"/>
  </r>
  <r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s v="wearables"/>
  </r>
  <r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  <s v="indie rock"/>
  </r>
  <r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s v="plays"/>
  </r>
  <r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  <s v="rock"/>
  </r>
  <r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s v="translations"/>
  </r>
  <r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s v="plays"/>
  </r>
  <r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  <s v="plays"/>
  </r>
  <r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s v="translations"/>
  </r>
  <r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  <s v="video games"/>
  </r>
  <r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s v="plays"/>
  </r>
  <r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  <s v="web"/>
  </r>
  <r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s v="documentary"/>
  </r>
  <r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  <s v="plays"/>
  </r>
  <r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s v="food trucks"/>
  </r>
  <r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s v="video games"/>
  </r>
  <r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  <s v="plays"/>
  </r>
  <r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  <s v="plays"/>
  </r>
  <r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s v="electric music"/>
  </r>
  <r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s v="wearables"/>
  </r>
  <r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s v="electric music"/>
  </r>
  <r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s v="indie rock"/>
  </r>
  <r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  <s v="web"/>
  </r>
  <r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  <s v="plays"/>
  </r>
  <r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  <s v="plays"/>
  </r>
  <r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s v="documentary"/>
  </r>
  <r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s v="television"/>
  </r>
  <r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  <s v="food trucks"/>
  </r>
  <r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s v="radio &amp; podcasts"/>
  </r>
  <r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  <s v="web"/>
  </r>
  <r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  <s v="food trucks"/>
  </r>
  <r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s v="wearables"/>
  </r>
  <r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s v="fiction"/>
  </r>
  <r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  <s v="plays"/>
  </r>
  <r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s v="television"/>
  </r>
  <r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s v="photography books"/>
  </r>
  <r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s v="documentary"/>
  </r>
  <r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s v="mobile games"/>
  </r>
  <r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s v="video games"/>
  </r>
  <r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s v="fiction"/>
  </r>
  <r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  <s v="plays"/>
  </r>
  <r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s v="photography books"/>
  </r>
  <r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s v="plays"/>
  </r>
  <r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  <s v="plays"/>
  </r>
  <r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  <s v="plays"/>
  </r>
  <r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  <s v="rock"/>
  </r>
  <r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  <s v="food trucks"/>
  </r>
  <r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s v="drama"/>
  </r>
  <r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s v="web"/>
  </r>
  <r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s v="plays"/>
  </r>
  <r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  <s v="world music"/>
  </r>
  <r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s v="documentary"/>
  </r>
  <r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  <s v="plays"/>
  </r>
  <r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s v="drama"/>
  </r>
  <r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  <s v="nonfiction"/>
  </r>
  <r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s v="mobile games"/>
  </r>
  <r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s v="wearables"/>
  </r>
  <r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s v="documentary"/>
  </r>
  <r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s v="web"/>
  </r>
  <r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  <s v="web"/>
  </r>
  <r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  <s v="indie rock"/>
  </r>
  <r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  <s v="plays"/>
  </r>
  <r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s v="wearables"/>
  </r>
  <r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  <s v="plays"/>
  </r>
  <r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  <s v="plays"/>
  </r>
  <r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s v="wearables"/>
  </r>
  <r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s v="indie rock"/>
  </r>
  <r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  <s v="rock"/>
  </r>
  <r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s v="electric music"/>
  </r>
  <r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s v="indie rock"/>
  </r>
  <r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  <s v="plays"/>
  </r>
  <r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s v="indie rock"/>
  </r>
  <r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s v="plays"/>
  </r>
  <r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  <s v="rock"/>
  </r>
  <r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s v="photography books"/>
  </r>
  <r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  <s v="rock"/>
  </r>
  <r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s v="plays"/>
  </r>
  <r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s v="wearables"/>
  </r>
  <r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  <s v="web"/>
  </r>
  <r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  <s v="rock"/>
  </r>
  <r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s v="photography books"/>
  </r>
  <r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s v="plays"/>
  </r>
  <r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s v="web"/>
  </r>
  <r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s v="photography books"/>
  </r>
  <r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  <s v="plays"/>
  </r>
  <r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s v="indie rock"/>
  </r>
  <r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s v="shorts"/>
  </r>
  <r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  <s v="indie rock"/>
  </r>
  <r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s v="translations"/>
  </r>
  <r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  <s v="documentary"/>
  </r>
  <r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s v="plays"/>
  </r>
  <r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s v="wearables"/>
  </r>
  <r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  <s v="plays"/>
  </r>
  <r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  <s v="plays"/>
  </r>
  <r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  <s v="plays"/>
  </r>
  <r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s v="food trucks"/>
  </r>
  <r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  <s v="plays"/>
  </r>
  <r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s v="wearables"/>
  </r>
  <r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  <s v="web"/>
  </r>
  <r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  <s v="plays"/>
  </r>
  <r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  <s v="rock"/>
  </r>
  <r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s v="plays"/>
  </r>
  <r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s v="television"/>
  </r>
  <r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s v="plays"/>
  </r>
  <r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s v="shorts"/>
  </r>
  <r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  <s v="plays"/>
  </r>
  <r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s v="plays"/>
  </r>
  <r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  <s v="plays"/>
  </r>
  <r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  <s v="plays"/>
  </r>
  <r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  <s v="rock"/>
  </r>
  <r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  <s v="indie rock"/>
  </r>
  <r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s v="metal"/>
  </r>
  <r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s v="electric music"/>
  </r>
  <r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  <s v="wearables"/>
  </r>
  <r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s v="drama"/>
  </r>
  <r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s v="electric music"/>
  </r>
  <r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  <s v="rock"/>
  </r>
  <r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  <s v="plays"/>
  </r>
  <r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  <s v="web"/>
  </r>
  <r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  <s v="food trucks"/>
  </r>
  <r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  <s v="plays"/>
  </r>
  <r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  <s v="jazz"/>
  </r>
  <r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  <s v="plays"/>
  </r>
  <r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s v="fiction"/>
  </r>
  <r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  <s v="rock"/>
  </r>
  <r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s v="documentary"/>
  </r>
  <r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s v="documentary"/>
  </r>
  <r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s v="science fiction"/>
  </r>
  <r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  <s v="plays"/>
  </r>
  <r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  <s v="plays"/>
  </r>
  <r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s v="indie rock"/>
  </r>
  <r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s v="rock"/>
  </r>
  <r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  <s v="plays"/>
  </r>
  <r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s v="plays"/>
  </r>
  <r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s v="science fiction"/>
  </r>
  <r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s v="shorts"/>
  </r>
  <r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s v="animation"/>
  </r>
  <r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  <s v="plays"/>
  </r>
  <r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s v="food trucks"/>
  </r>
  <r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s v="photography books"/>
  </r>
  <r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  <s v="plays"/>
  </r>
  <r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s v="science fiction"/>
  </r>
  <r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  <s v="rock"/>
  </r>
  <r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s v="photography books"/>
  </r>
  <r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s v="mobile games"/>
  </r>
  <r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s v="animation"/>
  </r>
  <r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s v="mobile games"/>
  </r>
  <r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s v="video games"/>
  </r>
  <r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  <s v="plays"/>
  </r>
  <r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  <s v="plays"/>
  </r>
  <r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s v="animation"/>
  </r>
  <r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s v="video games"/>
  </r>
  <r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s v="animation"/>
  </r>
  <r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  <s v="rock"/>
  </r>
  <r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s v="animation"/>
  </r>
  <r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  <s v="plays"/>
  </r>
  <r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s v="wearables"/>
  </r>
  <r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  <s v="plays"/>
  </r>
  <r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s v="nonfiction"/>
  </r>
  <r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s v="rock"/>
  </r>
  <r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  <s v="plays"/>
  </r>
  <r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  <s v="plays"/>
  </r>
  <r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  <s v="plays"/>
  </r>
  <r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  <s v="web"/>
  </r>
  <r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s v="fiction"/>
  </r>
  <r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s v="mobile games"/>
  </r>
  <r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s v="translations"/>
  </r>
  <r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  <s v="rock"/>
  </r>
  <r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  <s v="plays"/>
  </r>
  <r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  <s v="plays"/>
  </r>
  <r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s v="drama"/>
  </r>
  <r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s v="nonfiction"/>
  </r>
  <r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s v="rock"/>
  </r>
  <r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  <s v="rock"/>
  </r>
  <r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  <s v="plays"/>
  </r>
  <r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  <s v="plays"/>
  </r>
  <r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s v="photography books"/>
  </r>
  <r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  <s v="rock"/>
  </r>
  <r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  <s v="rock"/>
  </r>
  <r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  <s v="indie rock"/>
  </r>
  <r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s v="photography books"/>
  </r>
  <r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  <s v="plays"/>
  </r>
  <r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s v="plays"/>
  </r>
  <r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  <s v="jazz"/>
  </r>
  <r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  <s v="plays"/>
  </r>
  <r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s v="documentary"/>
  </r>
  <r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s v="television"/>
  </r>
  <r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s v="video games"/>
  </r>
  <r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s v="photography books"/>
  </r>
  <r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  <s v="plays"/>
  </r>
  <r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  <s v="plays"/>
  </r>
  <r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  <s v="plays"/>
  </r>
  <r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s v="translations"/>
  </r>
  <r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s v="video games"/>
  </r>
  <r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  <s v="plays"/>
  </r>
  <r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  <s v="web"/>
  </r>
  <r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  <s v="plays"/>
  </r>
  <r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s v="animation"/>
  </r>
  <r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s v="plays"/>
  </r>
  <r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s v="television"/>
  </r>
  <r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  <s v="rock"/>
  </r>
  <r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  <s v="web"/>
  </r>
  <r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  <s v="plays"/>
  </r>
  <r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s v="plays"/>
  </r>
  <r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s v="electric music"/>
  </r>
  <r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  <s v="metal"/>
  </r>
  <r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  <s v="plays"/>
  </r>
  <r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s v="documentary"/>
  </r>
  <r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  <s v="web"/>
  </r>
  <r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  <s v="food trucks"/>
  </r>
  <r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  <s v="plays"/>
  </r>
  <r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s v="plays"/>
  </r>
  <r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  <s v="plays"/>
  </r>
  <r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s v="plays"/>
  </r>
  <r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  <s v="plays"/>
  </r>
  <r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s v="rock"/>
  </r>
  <r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s v="food trucks"/>
  </r>
  <r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  <s v="nonfiction"/>
  </r>
  <r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s v="documentary"/>
  </r>
  <r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  <s v="plays"/>
  </r>
  <r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  <s v="indie rock"/>
  </r>
  <r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s v="documentary"/>
  </r>
  <r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  <s v="plays"/>
  </r>
  <r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  <s v="plays"/>
  </r>
  <r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s v="fiction"/>
  </r>
  <r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  <s v="plays"/>
  </r>
  <r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  <s v="indie rock"/>
  </r>
  <r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  <s v="video games"/>
  </r>
  <r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s v="plays"/>
  </r>
  <r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  <s v="plays"/>
  </r>
  <r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  <s v="rock"/>
  </r>
  <r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s v="documentary"/>
  </r>
  <r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  <s v="plays"/>
  </r>
  <r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  <s v="food trucks"/>
  </r>
  <r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  <s v="plays"/>
  </r>
  <r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  <s v="rock"/>
  </r>
  <r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  <s v="web"/>
  </r>
  <r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  <s v="fiction"/>
  </r>
  <r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s v="shorts"/>
  </r>
  <r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  <s v="plays"/>
  </r>
  <r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s v="documentary"/>
  </r>
  <r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  <s v="plays"/>
  </r>
  <r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  <s v="plays"/>
  </r>
  <r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s v="animation"/>
  </r>
  <r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  <s v="plays"/>
  </r>
  <r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s v="rock"/>
  </r>
  <r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s v="video games"/>
  </r>
  <r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s v="documentary"/>
  </r>
  <r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s v="food trucks"/>
  </r>
  <r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s v="wearables"/>
  </r>
  <r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s v="plays"/>
  </r>
  <r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  <s v="rock"/>
  </r>
  <r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s v="rock"/>
  </r>
  <r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  <s v="rock"/>
  </r>
  <r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  <s v="plays"/>
  </r>
  <r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  <s v="plays"/>
  </r>
  <r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  <s v="plays"/>
  </r>
  <r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s v="photography books"/>
  </r>
  <r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s v="indie rock"/>
  </r>
  <r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  <s v="plays"/>
  </r>
  <r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  <s v="plays"/>
  </r>
  <r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s v="video games"/>
  </r>
  <r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s v="drama"/>
  </r>
  <r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  <s v="indie rock"/>
  </r>
  <r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  <s v="web"/>
  </r>
  <r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s v="food trucks"/>
  </r>
  <r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s v="plays"/>
  </r>
  <r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  <s v="jazz"/>
  </r>
  <r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  <s v="rock"/>
  </r>
  <r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  <s v="plays"/>
  </r>
  <r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  <s v="plays"/>
  </r>
  <r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s v="documentary"/>
  </r>
  <r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s v="wearables"/>
  </r>
  <r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  <s v="plays"/>
  </r>
  <r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s v="video games"/>
  </r>
  <r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s v="photography books"/>
  </r>
  <r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s v="animation"/>
  </r>
  <r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s v="plays"/>
  </r>
  <r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s v="plays"/>
  </r>
  <r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  <s v="rock"/>
  </r>
  <r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  <s v="rock"/>
  </r>
  <r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  <s v="indie rock"/>
  </r>
  <r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  <s v="plays"/>
  </r>
  <r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  <s v="plays"/>
  </r>
  <r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  <s v="plays"/>
  </r>
  <r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s v="documentary"/>
  </r>
  <r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s v="television"/>
  </r>
  <r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  <s v="plays"/>
  </r>
  <r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  <s v="plays"/>
  </r>
  <r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s v="documentary"/>
  </r>
  <r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  <s v="plays"/>
  </r>
  <r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s v="documentary"/>
  </r>
  <r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  <s v="indie rock"/>
  </r>
  <r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  <s v="rock"/>
  </r>
  <r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  <s v="plays"/>
  </r>
  <r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s v="documentary"/>
  </r>
  <r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  <s v="plays"/>
  </r>
  <r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  <s v="plays"/>
  </r>
  <r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  <s v="plays"/>
  </r>
  <r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s v="photography books"/>
  </r>
  <r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  <s v="food trucks"/>
  </r>
  <r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s v="documentary"/>
  </r>
  <r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s v="nonfiction"/>
  </r>
  <r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  <s v="plays"/>
  </r>
  <r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s v="wearables"/>
  </r>
  <r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s v="indie rock"/>
  </r>
  <r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s v="plays"/>
  </r>
  <r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  <s v="photography books"/>
  </r>
  <r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s v="nonfiction"/>
  </r>
  <r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s v="wearables"/>
  </r>
  <r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  <s v="jazz"/>
  </r>
  <r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s v="documentary"/>
  </r>
  <r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  <s v="plays"/>
  </r>
  <r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s v="drama"/>
  </r>
  <r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s v="rock"/>
  </r>
  <r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s v="animation"/>
  </r>
  <r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  <s v="indie rock"/>
  </r>
  <r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  <s v="photography books"/>
  </r>
  <r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s v="plays"/>
  </r>
  <r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s v="shorts"/>
  </r>
  <r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  <s v="plays"/>
  </r>
  <r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  <s v="plays"/>
  </r>
  <r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  <s v="plays"/>
  </r>
  <r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s v="documentary"/>
  </r>
  <r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  <s v="plays"/>
  </r>
  <r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s v="documentary"/>
  </r>
  <r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  <s v="rock"/>
  </r>
  <r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s v="mobile games"/>
  </r>
  <r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s v="plays"/>
  </r>
  <r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s v="fiction"/>
  </r>
  <r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s v="animation"/>
  </r>
  <r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s v="food trucks"/>
  </r>
  <r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s v="plays"/>
  </r>
  <r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s v="documentary"/>
  </r>
  <r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s v="plays"/>
  </r>
  <r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s v="documentary"/>
  </r>
  <r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  <s v="web"/>
  </r>
  <r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  <s v="plays"/>
  </r>
  <r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s v="wearables"/>
  </r>
  <r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  <s v="plays"/>
  </r>
  <r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  <s v="food trucks"/>
  </r>
  <r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  <s v="indie rock"/>
  </r>
  <r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s v="photography books"/>
  </r>
  <r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  <s v="plays"/>
  </r>
  <r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s v="plays"/>
  </r>
  <r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s v="animation"/>
  </r>
  <r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s v="photography books"/>
  </r>
  <r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  <s v="plays"/>
  </r>
  <r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  <s v="plays"/>
  </r>
  <r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  <s v="plays"/>
  </r>
  <r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s v="documentary"/>
  </r>
  <r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  <s v="plays"/>
  </r>
  <r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  <s v="plays"/>
  </r>
  <r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s v="jazz"/>
  </r>
  <r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s v="animation"/>
  </r>
  <r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  <s v="plays"/>
  </r>
  <r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s v="science fiction"/>
  </r>
  <r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s v="television"/>
  </r>
  <r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  <s v="wearables"/>
  </r>
  <r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  <s v="plays"/>
  </r>
  <r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  <s v="plays"/>
  </r>
  <r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s v="indie rock"/>
  </r>
  <r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  <s v="plays"/>
  </r>
  <r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s v="wearables"/>
  </r>
  <r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  <s v="television"/>
  </r>
  <r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s v="video games"/>
  </r>
  <r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s v="video games"/>
  </r>
  <r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  <s v="animation"/>
  </r>
  <r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s v="rock"/>
  </r>
  <r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s v="drama"/>
  </r>
  <r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s v="science fiction"/>
  </r>
  <r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s v="drama"/>
  </r>
  <r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s v="plays"/>
  </r>
  <r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s v="indie rock"/>
  </r>
  <r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  <s v="plays"/>
  </r>
  <r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  <s v="plays"/>
  </r>
  <r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s v="documentary"/>
  </r>
  <r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  <s v="plays"/>
  </r>
  <r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s v="drama"/>
  </r>
  <r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s v="mobile games"/>
  </r>
  <r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s v="animation"/>
  </r>
  <r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  <s v="plays"/>
  </r>
  <r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s v="translations"/>
  </r>
  <r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s v="wearables"/>
  </r>
  <r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  <s v="web"/>
  </r>
  <r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  <s v="plays"/>
  </r>
  <r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s v="drama"/>
  </r>
  <r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s v="wearables"/>
  </r>
  <r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s v="food trucks"/>
  </r>
  <r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  <s v="rock"/>
  </r>
  <r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s v="electric music"/>
  </r>
  <r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s v="television"/>
  </r>
  <r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s v="translations"/>
  </r>
  <r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s v="fiction"/>
  </r>
  <r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s v="science fiction"/>
  </r>
  <r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s v="wearables"/>
  </r>
  <r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  <s v="food trucks"/>
  </r>
  <r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s v="photography books"/>
  </r>
  <r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  <s v="plays"/>
  </r>
  <r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s v="fiction"/>
  </r>
  <r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  <s v="plays"/>
  </r>
  <r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  <s v="food trucks"/>
  </r>
  <r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  <s v="plays"/>
  </r>
  <r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s v="translations"/>
  </r>
  <r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  <s v="plays"/>
  </r>
  <r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  <s v="plays"/>
  </r>
  <r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s v="wearables"/>
  </r>
  <r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s v="audio"/>
  </r>
  <r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s v="food trucks"/>
  </r>
  <r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s v="shorts"/>
  </r>
  <r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s v="photography books"/>
  </r>
  <r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s v="wearables"/>
  </r>
  <r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  <s v="plays"/>
  </r>
  <r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s v="animation"/>
  </r>
  <r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s v="wearables"/>
  </r>
  <r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  <s v="web"/>
  </r>
  <r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s v="documentary"/>
  </r>
  <r>
    <s v="Team-oriented clear-thinking matrix"/>
    <n v="100"/>
    <n v="0"/>
    <n v="0"/>
    <x v="0"/>
    <n v="0"/>
    <e v="#DIV/0!"/>
    <s v="US"/>
    <s v="USD"/>
    <n v="1367384400"/>
    <n v="1369803600"/>
    <x v="472"/>
    <d v="2013-05-29T05:00:00"/>
    <b v="0"/>
    <b v="1"/>
    <s v="theater/plays"/>
    <x v="3"/>
    <s v="plays"/>
  </r>
  <r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s v="documentary"/>
  </r>
  <r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s v="video games"/>
  </r>
  <r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s v="drama"/>
  </r>
  <r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  <s v="rock"/>
  </r>
  <r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s v="radio &amp; podcasts"/>
  </r>
  <r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  <s v="plays"/>
  </r>
  <r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  <s v="web"/>
  </r>
  <r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s v="plays"/>
  </r>
  <r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  <s v="plays"/>
  </r>
  <r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s v="drama"/>
  </r>
  <r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  <s v="plays"/>
  </r>
  <r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s v="video games"/>
  </r>
  <r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s v="television"/>
  </r>
  <r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  <s v="rock"/>
  </r>
  <r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  <s v="plays"/>
  </r>
  <r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s v="nonfiction"/>
  </r>
  <r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s v="food trucks"/>
  </r>
  <r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  <s v="animation"/>
  </r>
  <r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s v="rock"/>
  </r>
  <r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  <s v="plays"/>
  </r>
  <r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s v="drama"/>
  </r>
  <r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s v="shorts"/>
  </r>
  <r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s v="shorts"/>
  </r>
  <r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  <s v="plays"/>
  </r>
  <r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s v="wearables"/>
  </r>
  <r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  <s v="plays"/>
  </r>
  <r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  <s v="animation"/>
  </r>
  <r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  <s v="indie rock"/>
  </r>
  <r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  <s v="video games"/>
  </r>
  <r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s v="fiction"/>
  </r>
  <r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s v="video games"/>
  </r>
  <r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  <s v="plays"/>
  </r>
  <r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s v="indie rock"/>
  </r>
  <r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s v="drama"/>
  </r>
  <r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  <s v="plays"/>
  </r>
  <r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s v="fiction"/>
  </r>
  <r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s v="documentary"/>
  </r>
  <r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s v="mobile games"/>
  </r>
  <r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  <s v="food trucks"/>
  </r>
  <r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s v="photography books"/>
  </r>
  <r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s v="mobile games"/>
  </r>
  <r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  <s v="indie rock"/>
  </r>
  <r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s v="video games"/>
  </r>
  <r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  <s v="rock"/>
  </r>
  <r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  <s v="plays"/>
  </r>
  <r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  <s v="plays"/>
  </r>
  <r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  <s v="drama"/>
  </r>
  <r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  <s v="plays"/>
  </r>
  <r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s v="wearables"/>
  </r>
  <r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  <s v="indie rock"/>
  </r>
  <r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  <s v="web"/>
  </r>
  <r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  <s v="plays"/>
  </r>
  <r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  <s v="rock"/>
  </r>
  <r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s v="indie rock"/>
  </r>
  <r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s v="rock"/>
  </r>
  <r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s v="translations"/>
  </r>
  <r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s v="science fiction"/>
  </r>
  <r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  <s v="plays"/>
  </r>
  <r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s v="plays"/>
  </r>
  <r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s v="animation"/>
  </r>
  <r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  <s v="plays"/>
  </r>
  <r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s v="rock"/>
  </r>
  <r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s v="documentary"/>
  </r>
  <r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  <s v="plays"/>
  </r>
  <r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s v="plays"/>
  </r>
  <r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s v="electric music"/>
  </r>
  <r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  <s v="rock"/>
  </r>
  <r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  <s v="plays"/>
  </r>
  <r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s v="animation"/>
  </r>
  <r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  <s v="rock"/>
  </r>
  <r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s v="shorts"/>
  </r>
  <r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  <s v="rock"/>
  </r>
  <r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  <s v="audio"/>
  </r>
  <r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  <s v="food trucks"/>
  </r>
  <r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  <s v="plays"/>
  </r>
  <r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  <s v="plays"/>
  </r>
  <r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  <s v="jazz"/>
  </r>
  <r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s v="science fiction"/>
  </r>
  <r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s v="jazz"/>
  </r>
  <r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  <s v="plays"/>
  </r>
  <r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s v="web"/>
  </r>
  <r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  <s v="video games"/>
  </r>
  <r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s v="documentary"/>
  </r>
  <r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s v="web"/>
  </r>
  <r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s v="translations"/>
  </r>
  <r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  <s v="rock"/>
  </r>
  <r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  <s v="food trucks"/>
  </r>
  <r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  <s v="plays"/>
  </r>
  <r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s v="documentary"/>
  </r>
  <r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s v="radio &amp; podcasts"/>
  </r>
  <r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s v="video games"/>
  </r>
  <r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s v="plays"/>
  </r>
  <r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s v="animation"/>
  </r>
  <r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  <s v="plays"/>
  </r>
  <r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  <s v="plays"/>
  </r>
  <r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s v="drama"/>
  </r>
  <r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  <s v="plays"/>
  </r>
  <r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  <s v="rock"/>
  </r>
  <r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s v="documentary"/>
  </r>
  <r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  <s v="food trucks"/>
  </r>
  <r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s v="wearables"/>
  </r>
  <r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  <s v="plays"/>
  </r>
  <r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  <s v="plays"/>
  </r>
  <r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s v="plays"/>
  </r>
  <r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s v="nonfiction"/>
  </r>
  <r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  <s v="rock"/>
  </r>
  <r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s v="food trucks"/>
  </r>
  <r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  <s v="jazz"/>
  </r>
  <r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s v="science fiction"/>
  </r>
  <r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  <s v="plays"/>
  </r>
  <r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  <s v="plays"/>
  </r>
  <r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s v="electric music"/>
  </r>
  <r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  <s v="plays"/>
  </r>
  <r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  <s v="plays"/>
  </r>
  <r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  <s v="plays"/>
  </r>
  <r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  <s v="indie rock"/>
  </r>
  <r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  <s v="plays"/>
  </r>
  <r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s v="nonfiction"/>
  </r>
  <r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  <s v="plays"/>
  </r>
  <r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s v="photography books"/>
  </r>
  <r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  <s v="plays"/>
  </r>
  <r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  <s v="indie rock"/>
  </r>
  <r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  <s v="plays"/>
  </r>
  <r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s v="photography books"/>
  </r>
  <r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  <s v="plays"/>
  </r>
  <r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  <s v="plays"/>
  </r>
  <r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  <s v="food trucks"/>
  </r>
  <r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s v="indie rock"/>
  </r>
  <r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  <s v="plays"/>
  </r>
  <r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  <s v="plays"/>
  </r>
  <r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  <s v="plays"/>
  </r>
  <r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  <s v="plays"/>
  </r>
  <r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s v="animation"/>
  </r>
  <r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s v="television"/>
  </r>
  <r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s v="television"/>
  </r>
  <r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s v="animation"/>
  </r>
  <r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s v="plays"/>
  </r>
  <r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s v="plays"/>
  </r>
  <r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s v="drama"/>
  </r>
  <r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  <s v="plays"/>
  </r>
  <r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s v="plays"/>
  </r>
  <r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s v="wearables"/>
  </r>
  <r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  <s v="plays"/>
  </r>
  <r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  <s v="plays"/>
  </r>
  <r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  <s v="rock"/>
  </r>
  <r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s v="video games"/>
  </r>
  <r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  <s v="translations"/>
  </r>
  <r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  <s v="food trucks"/>
  </r>
  <r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  <s v="plays"/>
  </r>
  <r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  <s v="jazz"/>
  </r>
  <r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s v="shorts"/>
  </r>
  <r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  <s v="web"/>
  </r>
  <r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  <s v="web"/>
  </r>
  <r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  <s v="metal"/>
  </r>
  <r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s v="photography books"/>
  </r>
  <r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  <s v="food trucks"/>
  </r>
  <r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s v="science fiction"/>
  </r>
  <r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  <s v="rock"/>
  </r>
  <r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s v="documentary"/>
  </r>
  <r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s v="plays"/>
  </r>
  <r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s v="jazz"/>
  </r>
  <r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s v="plays"/>
  </r>
  <r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  <s v="plays"/>
  </r>
  <r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  <s v="jazz"/>
  </r>
  <r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s v="documentary"/>
  </r>
  <r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  <s v="plays"/>
  </r>
  <r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  <s v="audio"/>
  </r>
  <r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  <s v="plays"/>
  </r>
  <r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  <s v="plays"/>
  </r>
  <r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  <s v="indie rock"/>
  </r>
  <r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  <s v="plays"/>
  </r>
  <r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s v="plays"/>
  </r>
  <r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  <s v="indie rock"/>
  </r>
  <r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s v="photography books"/>
  </r>
  <r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s v="audio"/>
  </r>
  <r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s v="photography books"/>
  </r>
  <r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s v="fiction"/>
  </r>
  <r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s v="drama"/>
  </r>
  <r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  <s v="food trucks"/>
  </r>
  <r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s v="mobile games"/>
  </r>
  <r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  <s v="plays"/>
  </r>
  <r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  <s v="plays"/>
  </r>
  <r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s v="plays"/>
  </r>
  <r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s v="nonfiction"/>
  </r>
  <r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s v="plays"/>
  </r>
  <r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s v="wearables"/>
  </r>
  <r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  <s v="plays"/>
  </r>
  <r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s v="television"/>
  </r>
  <r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s v="web"/>
  </r>
  <r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s v="documentary"/>
  </r>
  <r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s v="documentary"/>
  </r>
  <r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  <s v="rock"/>
  </r>
  <r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  <s v="plays"/>
  </r>
  <r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  <s v="plays"/>
  </r>
  <r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  <s v="rock"/>
  </r>
  <r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  <s v="plays"/>
  </r>
  <r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s v="electric music"/>
  </r>
  <r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s v="wearables"/>
  </r>
  <r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s v="drama"/>
  </r>
  <r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  <s v="wearables"/>
  </r>
  <r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  <s v="plays"/>
  </r>
  <r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s v="wearables"/>
  </r>
  <r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s v="translations"/>
  </r>
  <r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s v="animation"/>
  </r>
  <r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s v="nonfiction"/>
  </r>
  <r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  <s v="web"/>
  </r>
  <r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s v="drama"/>
  </r>
  <r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  <s v="plays"/>
  </r>
  <r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  <s v="plays"/>
  </r>
  <r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  <s v="plays"/>
  </r>
  <r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  <s v="plays"/>
  </r>
  <r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  <s v="plays"/>
  </r>
  <r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s v="radio &amp; podcasts"/>
  </r>
  <r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  <s v="rock"/>
  </r>
  <r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s v="mobile games"/>
  </r>
  <r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  <s v="plays"/>
  </r>
  <r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s v="documentary"/>
  </r>
  <r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s v="wearables"/>
  </r>
  <r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s v="fiction"/>
  </r>
  <r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  <s v="plays"/>
  </r>
  <r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  <s v="rock"/>
  </r>
  <r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s v="documentary"/>
  </r>
  <r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  <s v="plays"/>
  </r>
  <r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s v="plays"/>
  </r>
  <r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s v="mobile games"/>
  </r>
  <r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  <s v="plays"/>
  </r>
  <r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  <s v="web"/>
  </r>
  <r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  <s v="plays"/>
  </r>
  <r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s v="drama"/>
  </r>
  <r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s v="wearables"/>
  </r>
  <r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  <s v="web"/>
  </r>
  <r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  <s v="rock"/>
  </r>
  <r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  <s v="metal"/>
  </r>
  <r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  <s v="plays"/>
  </r>
  <r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s v="photography books"/>
  </r>
  <r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s v="nonfiction"/>
  </r>
  <r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s v="indie rock"/>
  </r>
  <r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  <s v="plays"/>
  </r>
  <r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s v="indie rock"/>
  </r>
  <r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  <s v="plays"/>
  </r>
  <r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  <s v="plays"/>
  </r>
  <r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s v="electric music"/>
  </r>
  <r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s v="plays"/>
  </r>
  <r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  <s v="plays"/>
  </r>
  <r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  <s v="wearables"/>
  </r>
  <r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  <s v="web"/>
  </r>
  <r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  <s v="plays"/>
  </r>
  <r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s v="animation"/>
  </r>
  <r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s v="wearables"/>
  </r>
  <r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  <s v="electric music"/>
  </r>
  <r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s v="nonfiction"/>
  </r>
  <r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  <s v="plays"/>
  </r>
  <r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s v="photography books"/>
  </r>
  <r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  <s v="plays"/>
  </r>
  <r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s v="plays"/>
  </r>
  <r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  <s v="plays"/>
  </r>
  <r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s v="drama"/>
  </r>
  <r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  <s v="rock"/>
  </r>
  <r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s v="electric music"/>
  </r>
  <r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s v="video games"/>
  </r>
  <r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  <s v="rock"/>
  </r>
  <r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  <s v="jazz"/>
  </r>
  <r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s v="plays"/>
  </r>
  <r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  <s v="rock"/>
  </r>
  <r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  <s v="indie rock"/>
  </r>
  <r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s v="science fiction"/>
  </r>
  <r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s v="translations"/>
  </r>
  <r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  <s v="plays"/>
  </r>
  <r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s v="video games"/>
  </r>
  <r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s v="plays"/>
  </r>
  <r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  <s v="plays"/>
  </r>
  <r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s v="indie rock"/>
  </r>
  <r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s v="plays"/>
  </r>
  <r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  <s v="web"/>
  </r>
  <r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  <s v="rock"/>
  </r>
  <r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  <s v="plays"/>
  </r>
  <r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  <s v="plays"/>
  </r>
  <r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s v="animation"/>
  </r>
  <r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  <s v="plays"/>
  </r>
  <r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s v="drama"/>
  </r>
  <r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  <s v="plays"/>
  </r>
  <r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s v="animation"/>
  </r>
  <r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s v="rock"/>
  </r>
  <r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  <s v="web"/>
  </r>
  <r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s v="animation"/>
  </r>
  <r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  <s v="jazz"/>
  </r>
  <r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  <s v="rock"/>
  </r>
  <r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s v="animation"/>
  </r>
  <r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  <s v="plays"/>
  </r>
  <r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  <s v="plays"/>
  </r>
  <r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  <s v="food trucks"/>
  </r>
  <r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  <s v="plays"/>
  </r>
  <r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s v="nonfiction"/>
  </r>
  <r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s v="rock"/>
  </r>
  <r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s v="drama"/>
  </r>
  <r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s v="mobile games"/>
  </r>
  <r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s v="web"/>
  </r>
  <r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s v="plays"/>
  </r>
  <r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  <s v="plays"/>
  </r>
  <r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  <s v="rock"/>
  </r>
  <r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s v="photography books"/>
  </r>
  <r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s v="photography books"/>
  </r>
  <r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  <s v="plays"/>
  </r>
  <r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  <s v="rock"/>
  </r>
  <r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s v="documentary"/>
  </r>
  <r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s v="drama"/>
  </r>
  <r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  <s v="plays"/>
  </r>
  <r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  <s v="food trucks"/>
  </r>
  <r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  <s v="documentary"/>
  </r>
  <r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  <s v="plays"/>
  </r>
  <r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s v="video games"/>
  </r>
  <r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s v="nonfiction"/>
  </r>
  <r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s v="video games"/>
  </r>
  <r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  <s v="rock"/>
  </r>
  <r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  <s v="rock"/>
  </r>
  <r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  <s v="plays"/>
  </r>
  <r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s v="nonfiction"/>
  </r>
  <r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  <s v="plays"/>
  </r>
  <r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s v="video games"/>
  </r>
  <r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  <s v="rock"/>
  </r>
  <r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s v="documentary"/>
  </r>
  <r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s v="rock"/>
  </r>
  <r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  <s v="rock"/>
  </r>
  <r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s v="nonfiction"/>
  </r>
  <r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s v="shorts"/>
  </r>
  <r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  <s v="plays"/>
  </r>
  <r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s v="drama"/>
  </r>
  <r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  <s v="plays"/>
  </r>
  <r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  <s v="plays"/>
  </r>
  <r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  <s v="plays"/>
  </r>
  <r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s v="photography books"/>
  </r>
  <r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s v="translations"/>
  </r>
  <r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s v="translations"/>
  </r>
  <r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  <s v="plays"/>
  </r>
  <r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  <s v="web"/>
  </r>
  <r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  <s v="indie rock"/>
  </r>
  <r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  <s v="jazz"/>
  </r>
  <r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  <s v="plays"/>
  </r>
  <r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s v="documentary"/>
  </r>
  <r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s v="plays"/>
  </r>
  <r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  <s v="web"/>
  </r>
  <r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s v="wearables"/>
  </r>
  <r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s v="photography books"/>
  </r>
  <r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s v="documentary"/>
  </r>
  <r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s v="web"/>
  </r>
  <r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  <s v="web"/>
  </r>
  <r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  <s v="food trucks"/>
  </r>
  <r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s v="drama"/>
  </r>
  <r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s v="indie rock"/>
  </r>
  <r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  <s v="rock"/>
  </r>
  <r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s v="electric music"/>
  </r>
  <r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  <s v="video games"/>
  </r>
  <r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s v="indie rock"/>
  </r>
  <r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s v="fiction"/>
  </r>
  <r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  <s v="plays"/>
  </r>
  <r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  <s v="food trucks"/>
  </r>
  <r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s v="shorts"/>
  </r>
  <r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  <s v="food trucks"/>
  </r>
  <r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s v="plays"/>
  </r>
  <r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s v="wearables"/>
  </r>
  <r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s v="plays"/>
  </r>
  <r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  <s v="plays"/>
  </r>
  <r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s v="television"/>
  </r>
  <r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s v="shorts"/>
  </r>
  <r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  <s v="plays"/>
  </r>
  <r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s v="photography books"/>
  </r>
  <r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  <s v="food trucks"/>
  </r>
  <r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  <s v="plays"/>
  </r>
  <r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s v="drama"/>
  </r>
  <r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  <s v="plays"/>
  </r>
  <r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  <s v="plays"/>
  </r>
  <r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s v="science fiction"/>
  </r>
  <r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s v="photography books"/>
  </r>
  <r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s v="photography books"/>
  </r>
  <r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  <s v="rock"/>
  </r>
  <r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s v="photography books"/>
  </r>
  <r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  <s v="food trucks"/>
  </r>
  <r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  <s v="metal"/>
  </r>
  <r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s v="nonfiction"/>
  </r>
  <r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s v="electric music"/>
  </r>
  <r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  <s v="plays"/>
  </r>
  <r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  <s v="plays"/>
  </r>
  <r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s v="shorts"/>
  </r>
  <r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  <s v="plays"/>
  </r>
  <r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s v="plays"/>
  </r>
  <r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  <s v="indie rock"/>
  </r>
  <r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  <s v="plays"/>
  </r>
  <r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  <s v="plays"/>
  </r>
  <r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s v="electric music"/>
  </r>
  <r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s v="indie rock"/>
  </r>
  <r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s v="documentary"/>
  </r>
  <r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s v="translations"/>
  </r>
  <r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s v="documentary"/>
  </r>
  <r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s v="television"/>
  </r>
  <r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  <s v="plays"/>
  </r>
  <r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s v="food trucks"/>
  </r>
  <r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s v="plays"/>
  </r>
  <r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s v="documentary"/>
  </r>
  <r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  <s v="jazz"/>
  </r>
  <r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  <s v="web"/>
  </r>
  <r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  <s v="rock"/>
  </r>
  <r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  <s v="web"/>
  </r>
  <r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s v="nonfiction"/>
  </r>
  <r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s v="radio &amp; podcasts"/>
  </r>
  <r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  <s v="plays"/>
  </r>
  <r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s v="documentary"/>
  </r>
  <r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s v="plays"/>
  </r>
  <r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s v="video games"/>
  </r>
  <r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  <s v="plays"/>
  </r>
  <r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  <s v="plays"/>
  </r>
  <r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  <s v="web"/>
  </r>
  <r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s v="drama"/>
  </r>
  <r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s v="drama"/>
  </r>
  <r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  <s v="plays"/>
  </r>
  <r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s v="television"/>
  </r>
  <r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s v="photography books"/>
  </r>
  <r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s v="shorts"/>
  </r>
  <r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s v="radio &amp; podcasts"/>
  </r>
  <r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  <s v="plays"/>
  </r>
  <r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s v="animation"/>
  </r>
  <r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  <s v="web"/>
  </r>
  <r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  <s v="world music"/>
  </r>
  <r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  <s v="plays"/>
  </r>
  <r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  <s v="plays"/>
  </r>
  <r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  <s v="plays"/>
  </r>
  <r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  <s v="food trucks"/>
  </r>
  <r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  <s v="plays"/>
  </r>
  <r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s v="web"/>
  </r>
  <r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  <s v="plays"/>
  </r>
  <r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s v="plays"/>
  </r>
  <r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  <s v="plays"/>
  </r>
  <r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  <s v="rock"/>
  </r>
  <r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s v="plays"/>
  </r>
  <r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s v="plays"/>
  </r>
  <r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  <s v="plays"/>
  </r>
  <r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  <s v="plays"/>
  </r>
  <r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s v="documentary"/>
  </r>
  <r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s v="fiction"/>
  </r>
  <r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  <s v="video games"/>
  </r>
  <r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  <s v="web"/>
  </r>
  <r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s v="plays"/>
  </r>
  <r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  <s v="plays"/>
  </r>
  <r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  <s v="food trucks"/>
  </r>
  <r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s v="photography books"/>
  </r>
  <r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s v="photography books"/>
  </r>
  <r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  <s v="plays"/>
  </r>
  <r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s v="plays"/>
  </r>
  <r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s v="documentary"/>
  </r>
  <r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s v="web"/>
  </r>
  <r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  <s v="plays"/>
  </r>
  <r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s v="rock"/>
  </r>
  <r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s v="documentary"/>
  </r>
  <r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s v="science fiction"/>
  </r>
  <r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  <s v="web"/>
  </r>
  <r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  <s v="plays"/>
  </r>
  <r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s v="science fiction"/>
  </r>
  <r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s v="plays"/>
  </r>
  <r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s v="animation"/>
  </r>
  <r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s v="translations"/>
  </r>
  <r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  <s v="web"/>
  </r>
  <r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s v="translations"/>
  </r>
  <r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  <s v="food trucks"/>
  </r>
  <r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s v="photography books"/>
  </r>
  <r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  <s v="plays"/>
  </r>
  <r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  <s v="rock"/>
  </r>
  <r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  <s v="plays"/>
  </r>
  <r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s v="world music"/>
  </r>
  <r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  <s v="food trucks"/>
  </r>
  <r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s v="plays"/>
  </r>
  <r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  <s v="plays"/>
  </r>
  <r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s v="television"/>
  </r>
  <r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s v="web"/>
  </r>
  <r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s v="plays"/>
  </r>
  <r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  <s v="indie rock"/>
  </r>
  <r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  <s v="plays"/>
  </r>
  <r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s v="plays"/>
  </r>
  <r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  <s v="food trucks"/>
  </r>
  <r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s v="video games"/>
  </r>
  <r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  <s v="plays"/>
  </r>
  <r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s v="nonfiction"/>
  </r>
  <r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s v="web"/>
  </r>
  <r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s v="documentary"/>
  </r>
  <r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s v="documentary"/>
  </r>
  <r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  <s v="plays"/>
  </r>
  <r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  <s v="rock"/>
  </r>
  <r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  <s v="rock"/>
  </r>
  <r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s v="documentary"/>
  </r>
  <r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s v="radio &amp; podcasts"/>
  </r>
  <r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s v="translations"/>
  </r>
  <r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  <s v="drama"/>
  </r>
  <r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  <s v="rock"/>
  </r>
  <r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s v="drama"/>
  </r>
  <r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s v="photography books"/>
  </r>
  <r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s v="translations"/>
  </r>
  <r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s v="food trucks"/>
  </r>
  <r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  <s v="plays"/>
  </r>
  <r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  <s v="plays"/>
  </r>
  <r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  <s v="indie rock"/>
  </r>
  <r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873597-A667-497C-875E-A08028414CE3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006:I1016" firstHeaderRow="1" firstDataRow="1" firstDataCol="1"/>
  <pivotFields count="18">
    <pivotField showAll="0"/>
    <pivotField showAll="0"/>
    <pivotField showAll="0"/>
    <pivotField showAll="0"/>
    <pivotField showAll="0">
      <items count="965">
        <item x="0"/>
        <item x="99"/>
        <item x="50"/>
        <item x="247"/>
        <item x="443"/>
        <item x="297"/>
        <item x="725"/>
        <item x="303"/>
        <item x="169"/>
        <item x="768"/>
        <item x="63"/>
        <item x="520"/>
        <item x="509"/>
        <item x="170"/>
        <item x="217"/>
        <item x="769"/>
        <item x="474"/>
        <item x="478"/>
        <item x="870"/>
        <item x="289"/>
        <item x="183"/>
        <item x="710"/>
        <item x="271"/>
        <item x="871"/>
        <item x="640"/>
        <item x="498"/>
        <item x="315"/>
        <item x="411"/>
        <item x="253"/>
        <item x="914"/>
        <item x="197"/>
        <item x="348"/>
        <item x="324"/>
        <item x="849"/>
        <item x="94"/>
        <item x="772"/>
        <item x="290"/>
        <item x="6"/>
        <item x="36"/>
        <item x="598"/>
        <item x="354"/>
        <item x="888"/>
        <item x="693"/>
        <item x="314"/>
        <item x="66"/>
        <item x="450"/>
        <item x="883"/>
        <item x="937"/>
        <item x="804"/>
        <item x="370"/>
        <item x="280"/>
        <item x="145"/>
        <item x="566"/>
        <item x="720"/>
        <item x="893"/>
        <item x="783"/>
        <item x="307"/>
        <item x="722"/>
        <item x="27"/>
        <item x="461"/>
        <item x="488"/>
        <item x="903"/>
        <item x="434"/>
        <item x="447"/>
        <item x="516"/>
        <item x="874"/>
        <item x="782"/>
        <item x="631"/>
        <item x="363"/>
        <item x="69"/>
        <item x="600"/>
        <item x="533"/>
        <item x="268"/>
        <item x="296"/>
        <item x="919"/>
        <item x="649"/>
        <item x="418"/>
        <item x="727"/>
        <item x="884"/>
        <item x="847"/>
        <item x="855"/>
        <item x="320"/>
        <item x="155"/>
        <item x="351"/>
        <item x="857"/>
        <item x="865"/>
        <item x="656"/>
        <item x="52"/>
        <item x="102"/>
        <item x="3"/>
        <item x="824"/>
        <item x="201"/>
        <item x="718"/>
        <item x="188"/>
        <item x="831"/>
        <item x="186"/>
        <item x="817"/>
        <item x="265"/>
        <item x="135"/>
        <item x="64"/>
        <item x="343"/>
        <item x="749"/>
        <item x="830"/>
        <item x="300"/>
        <item x="612"/>
        <item x="374"/>
        <item x="396"/>
        <item x="789"/>
        <item x="852"/>
        <item x="940"/>
        <item x="191"/>
        <item x="11"/>
        <item x="445"/>
        <item x="108"/>
        <item x="306"/>
        <item x="236"/>
        <item x="952"/>
        <item x="765"/>
        <item x="189"/>
        <item x="9"/>
        <item x="312"/>
        <item x="702"/>
        <item x="436"/>
        <item x="316"/>
        <item x="504"/>
        <item x="560"/>
        <item x="894"/>
        <item x="323"/>
        <item x="489"/>
        <item x="766"/>
        <item x="293"/>
        <item x="511"/>
        <item x="352"/>
        <item x="203"/>
        <item x="181"/>
        <item x="869"/>
        <item x="232"/>
        <item x="881"/>
        <item x="389"/>
        <item x="131"/>
        <item x="906"/>
        <item x="248"/>
        <item x="570"/>
        <item x="59"/>
        <item x="897"/>
        <item x="459"/>
        <item x="241"/>
        <item x="375"/>
        <item x="72"/>
        <item x="890"/>
        <item x="453"/>
        <item x="555"/>
        <item x="311"/>
        <item x="46"/>
        <item x="353"/>
        <item x="204"/>
        <item x="773"/>
        <item x="159"/>
        <item x="233"/>
        <item x="386"/>
        <item x="758"/>
        <item x="660"/>
        <item x="77"/>
        <item x="385"/>
        <item x="793"/>
        <item x="45"/>
        <item x="571"/>
        <item x="482"/>
        <item x="961"/>
        <item x="469"/>
        <item x="156"/>
        <item x="777"/>
        <item x="926"/>
        <item x="684"/>
        <item x="136"/>
        <item x="128"/>
        <item x="74"/>
        <item x="506"/>
        <item x="960"/>
        <item x="623"/>
        <item x="340"/>
        <item x="899"/>
        <item x="561"/>
        <item x="802"/>
        <item x="803"/>
        <item x="780"/>
        <item x="929"/>
        <item x="39"/>
        <item x="719"/>
        <item x="832"/>
        <item x="295"/>
        <item x="820"/>
        <item x="372"/>
        <item x="552"/>
        <item x="588"/>
        <item x="578"/>
        <item x="943"/>
        <item x="194"/>
        <item x="4"/>
        <item x="179"/>
        <item x="273"/>
        <item x="259"/>
        <item x="733"/>
        <item x="172"/>
        <item x="54"/>
        <item x="835"/>
        <item x="757"/>
        <item x="703"/>
        <item x="675"/>
        <item x="846"/>
        <item x="285"/>
        <item x="424"/>
        <item x="134"/>
        <item x="228"/>
        <item x="168"/>
        <item x="617"/>
        <item x="439"/>
        <item x="651"/>
        <item x="202"/>
        <item x="908"/>
        <item x="12"/>
        <item x="452"/>
        <item x="737"/>
        <item x="898"/>
        <item x="377"/>
        <item x="229"/>
        <item x="579"/>
        <item x="322"/>
        <item x="607"/>
        <item x="915"/>
        <item x="614"/>
        <item x="230"/>
        <item x="415"/>
        <item x="212"/>
        <item x="262"/>
        <item x="196"/>
        <item x="810"/>
        <item x="18"/>
        <item x="721"/>
        <item x="948"/>
        <item x="58"/>
        <item x="801"/>
        <item x="907"/>
        <item x="593"/>
        <item x="742"/>
        <item x="909"/>
        <item x="580"/>
        <item x="57"/>
        <item x="682"/>
        <item x="249"/>
        <item x="568"/>
        <item x="565"/>
        <item x="514"/>
        <item x="115"/>
        <item x="207"/>
        <item x="591"/>
        <item x="117"/>
        <item x="282"/>
        <item x="692"/>
        <item x="426"/>
        <item x="313"/>
        <item x="594"/>
        <item x="775"/>
        <item x="414"/>
        <item x="85"/>
        <item x="71"/>
        <item x="485"/>
        <item x="106"/>
        <item x="199"/>
        <item x="834"/>
        <item x="508"/>
        <item x="219"/>
        <item x="925"/>
        <item x="575"/>
        <item x="892"/>
        <item x="621"/>
        <item x="752"/>
        <item x="294"/>
        <item x="927"/>
        <item x="955"/>
        <item x="576"/>
        <item x="537"/>
        <item x="493"/>
        <item x="841"/>
        <item x="495"/>
        <item x="176"/>
        <item x="779"/>
        <item x="80"/>
        <item x="674"/>
        <item x="530"/>
        <item x="47"/>
        <item x="713"/>
        <item x="519"/>
        <item x="142"/>
        <item x="672"/>
        <item x="829"/>
        <item x="643"/>
        <item x="274"/>
        <item x="562"/>
        <item x="350"/>
        <item x="667"/>
        <item x="957"/>
        <item x="677"/>
        <item x="788"/>
        <item x="792"/>
        <item x="646"/>
        <item x="535"/>
        <item x="861"/>
        <item x="921"/>
        <item x="419"/>
        <item x="839"/>
        <item x="585"/>
        <item x="548"/>
        <item x="42"/>
        <item x="843"/>
        <item x="743"/>
        <item x="302"/>
        <item x="291"/>
        <item x="523"/>
        <item x="460"/>
        <item x="924"/>
        <item x="853"/>
        <item x="317"/>
        <item x="665"/>
        <item x="934"/>
        <item x="744"/>
        <item x="911"/>
        <item x="281"/>
        <item x="673"/>
        <item x="405"/>
        <item x="231"/>
        <item x="288"/>
        <item x="666"/>
        <item x="781"/>
        <item x="771"/>
        <item x="700"/>
        <item x="254"/>
        <item x="359"/>
        <item x="774"/>
        <item x="732"/>
        <item x="941"/>
        <item x="467"/>
        <item x="816"/>
        <item x="124"/>
        <item x="931"/>
        <item x="251"/>
        <item x="190"/>
        <item x="116"/>
        <item x="935"/>
        <item x="828"/>
        <item x="89"/>
        <item x="876"/>
        <item x="944"/>
        <item x="599"/>
        <item x="472"/>
        <item x="310"/>
        <item x="442"/>
        <item x="192"/>
        <item x="868"/>
        <item x="818"/>
        <item x="275"/>
        <item x="93"/>
        <item x="458"/>
        <item x="266"/>
        <item x="161"/>
        <item x="542"/>
        <item x="812"/>
        <item x="645"/>
        <item x="466"/>
        <item x="822"/>
        <item x="107"/>
        <item x="873"/>
        <item x="885"/>
        <item x="279"/>
        <item x="160"/>
        <item x="100"/>
        <item x="137"/>
        <item x="390"/>
        <item x="73"/>
        <item x="501"/>
        <item x="833"/>
        <item x="622"/>
        <item x="146"/>
        <item x="481"/>
        <item x="272"/>
        <item x="859"/>
        <item x="916"/>
        <item x="357"/>
        <item x="123"/>
        <item x="887"/>
        <item x="376"/>
        <item x="425"/>
        <item x="104"/>
        <item x="464"/>
        <item x="950"/>
        <item x="257"/>
        <item x="563"/>
        <item x="430"/>
        <item x="902"/>
        <item x="736"/>
        <item x="227"/>
        <item x="38"/>
        <item x="905"/>
        <item x="235"/>
        <item x="240"/>
        <item x="755"/>
        <item x="463"/>
        <item x="13"/>
        <item x="420"/>
        <item x="462"/>
        <item x="698"/>
        <item x="711"/>
        <item x="101"/>
        <item x="760"/>
        <item x="44"/>
        <item x="182"/>
        <item x="701"/>
        <item x="928"/>
        <item x="362"/>
        <item x="686"/>
        <item x="270"/>
        <item x="807"/>
        <item x="239"/>
        <item x="435"/>
        <item x="438"/>
        <item x="118"/>
        <item x="256"/>
        <item x="260"/>
        <item x="863"/>
        <item x="165"/>
        <item x="821"/>
        <item x="31"/>
        <item x="437"/>
        <item x="763"/>
        <item x="759"/>
        <item x="223"/>
        <item x="16"/>
        <item x="512"/>
        <item x="416"/>
        <item x="746"/>
        <item x="551"/>
        <item x="611"/>
        <item x="583"/>
        <item x="695"/>
        <item x="729"/>
        <item x="808"/>
        <item x="147"/>
        <item x="706"/>
        <item x="625"/>
        <item x="901"/>
        <item x="37"/>
        <item x="301"/>
        <item x="56"/>
        <item x="141"/>
        <item x="605"/>
        <item x="878"/>
        <item x="689"/>
        <item x="143"/>
        <item x="748"/>
        <item x="321"/>
        <item x="480"/>
        <item x="790"/>
        <item x="361"/>
        <item x="55"/>
        <item x="330"/>
        <item x="25"/>
        <item x="41"/>
        <item x="658"/>
        <item x="947"/>
        <item x="355"/>
        <item x="896"/>
        <item x="547"/>
        <item x="910"/>
        <item x="954"/>
        <item x="794"/>
        <item x="690"/>
        <item x="596"/>
        <item x="96"/>
        <item x="734"/>
        <item x="401"/>
        <item x="298"/>
        <item x="402"/>
        <item x="650"/>
        <item x="858"/>
        <item x="393"/>
        <item x="778"/>
        <item x="648"/>
        <item x="139"/>
        <item x="371"/>
        <item x="209"/>
        <item x="215"/>
        <item x="471"/>
        <item x="678"/>
        <item x="53"/>
        <item x="785"/>
        <item x="86"/>
        <item x="923"/>
        <item x="112"/>
        <item x="671"/>
        <item x="546"/>
        <item x="823"/>
        <item x="496"/>
        <item x="88"/>
        <item x="526"/>
        <item x="409"/>
        <item x="538"/>
        <item x="344"/>
        <item x="867"/>
        <item x="111"/>
        <item x="503"/>
        <item x="635"/>
        <item x="800"/>
        <item x="308"/>
        <item x="942"/>
        <item x="383"/>
        <item x="762"/>
        <item x="517"/>
        <item x="872"/>
        <item x="158"/>
        <item x="815"/>
        <item x="589"/>
        <item x="770"/>
        <item x="574"/>
        <item x="245"/>
        <item x="930"/>
        <item x="5"/>
        <item x="610"/>
        <item x="638"/>
        <item x="284"/>
        <item x="956"/>
        <item x="705"/>
        <item x="487"/>
        <item x="626"/>
        <item x="525"/>
        <item x="716"/>
        <item x="255"/>
        <item x="164"/>
        <item x="953"/>
        <item x="932"/>
        <item x="286"/>
        <item x="724"/>
        <item x="731"/>
        <item x="78"/>
        <item x="148"/>
        <item x="49"/>
        <item x="276"/>
        <item x="429"/>
        <item x="486"/>
        <item x="358"/>
        <item x="395"/>
        <item x="113"/>
        <item x="862"/>
        <item x="10"/>
        <item x="534"/>
        <item x="699"/>
        <item x="799"/>
        <item x="691"/>
        <item x="670"/>
        <item x="132"/>
        <item x="105"/>
        <item x="34"/>
        <item x="636"/>
        <item x="406"/>
        <item x="392"/>
        <item x="545"/>
        <item x="531"/>
        <item x="723"/>
        <item x="378"/>
        <item x="726"/>
        <item x="609"/>
        <item x="795"/>
        <item x="198"/>
        <item x="879"/>
        <item x="211"/>
        <item x="669"/>
        <item x="364"/>
        <item x="65"/>
        <item x="544"/>
        <item x="741"/>
        <item x="62"/>
        <item x="30"/>
        <item x="602"/>
        <item x="68"/>
        <item x="662"/>
        <item x="277"/>
        <item x="360"/>
        <item x="1"/>
        <item x="836"/>
        <item x="75"/>
        <item x="797"/>
        <item x="328"/>
        <item x="813"/>
        <item x="243"/>
        <item x="709"/>
        <item x="527"/>
        <item x="694"/>
        <item x="7"/>
        <item x="365"/>
        <item x="242"/>
        <item x="234"/>
        <item x="431"/>
        <item x="556"/>
        <item x="40"/>
        <item x="129"/>
        <item x="23"/>
        <item x="98"/>
        <item x="82"/>
        <item x="913"/>
        <item x="417"/>
        <item x="567"/>
        <item x="513"/>
        <item x="740"/>
        <item x="661"/>
        <item x="14"/>
        <item x="138"/>
        <item x="283"/>
        <item x="624"/>
        <item x="581"/>
        <item x="886"/>
        <item x="109"/>
        <item x="326"/>
        <item x="8"/>
        <item x="369"/>
        <item x="342"/>
        <item x="827"/>
        <item x="299"/>
        <item x="373"/>
        <item x="939"/>
        <item x="258"/>
        <item x="399"/>
        <item x="647"/>
        <item x="154"/>
        <item x="477"/>
        <item x="184"/>
        <item x="697"/>
        <item x="877"/>
        <item x="19"/>
        <item x="616"/>
        <item x="505"/>
        <item x="641"/>
        <item x="851"/>
        <item x="339"/>
        <item x="97"/>
        <item x="627"/>
        <item x="122"/>
        <item x="337"/>
        <item x="502"/>
        <item x="880"/>
        <item x="922"/>
        <item x="440"/>
        <item x="962"/>
        <item x="81"/>
        <item x="840"/>
        <item x="15"/>
        <item x="21"/>
        <item x="83"/>
        <item x="166"/>
        <item x="79"/>
        <item x="601"/>
        <item x="206"/>
        <item x="329"/>
        <item x="84"/>
        <item x="127"/>
        <item x="382"/>
        <item x="532"/>
        <item x="304"/>
        <item x="187"/>
        <item x="441"/>
        <item x="484"/>
        <item x="494"/>
        <item x="754"/>
        <item x="490"/>
        <item x="422"/>
        <item x="267"/>
        <item x="173"/>
        <item x="558"/>
        <item x="708"/>
        <item x="475"/>
        <item x="639"/>
        <item x="91"/>
        <item x="26"/>
        <item x="564"/>
        <item x="126"/>
        <item x="507"/>
        <item x="745"/>
        <item x="613"/>
        <item x="404"/>
        <item x="604"/>
        <item x="912"/>
        <item x="767"/>
        <item x="380"/>
        <item x="642"/>
        <item x="529"/>
        <item x="468"/>
        <item x="193"/>
        <item x="657"/>
        <item x="936"/>
        <item x="455"/>
        <item x="644"/>
        <item x="214"/>
        <item x="633"/>
        <item x="410"/>
        <item x="144"/>
        <item x="465"/>
        <item x="572"/>
        <item x="764"/>
        <item x="394"/>
        <item x="632"/>
        <item x="327"/>
        <item x="403"/>
        <item x="963"/>
        <item x="140"/>
        <item x="427"/>
        <item x="92"/>
        <item x="387"/>
        <item x="730"/>
        <item x="333"/>
        <item x="292"/>
        <item x="125"/>
        <item x="786"/>
        <item x="400"/>
        <item x="753"/>
        <item x="776"/>
        <item x="110"/>
        <item x="958"/>
        <item x="90"/>
        <item x="543"/>
        <item x="22"/>
        <item x="704"/>
        <item x="653"/>
        <item x="391"/>
        <item x="476"/>
        <item x="809"/>
        <item x="946"/>
        <item x="491"/>
        <item x="838"/>
        <item x="844"/>
        <item x="515"/>
        <item x="220"/>
        <item x="628"/>
        <item x="341"/>
        <item x="715"/>
        <item x="540"/>
        <item x="904"/>
        <item x="263"/>
        <item x="174"/>
        <item x="945"/>
        <item x="756"/>
        <item x="630"/>
        <item x="305"/>
        <item x="32"/>
        <item x="149"/>
        <item x="121"/>
        <item x="784"/>
        <item x="133"/>
        <item x="889"/>
        <item x="153"/>
        <item x="683"/>
        <item x="590"/>
        <item x="287"/>
        <item x="618"/>
        <item x="412"/>
        <item x="866"/>
        <item x="668"/>
        <item x="347"/>
        <item x="457"/>
        <item x="559"/>
        <item x="346"/>
        <item x="76"/>
        <item x="521"/>
        <item x="252"/>
        <item x="338"/>
        <item x="679"/>
        <item x="603"/>
        <item x="707"/>
        <item x="938"/>
        <item x="167"/>
        <item x="528"/>
        <item x="208"/>
        <item x="120"/>
        <item x="152"/>
        <item x="432"/>
        <item x="751"/>
        <item x="384"/>
        <item x="918"/>
        <item x="761"/>
        <item x="446"/>
        <item x="224"/>
        <item x="573"/>
        <item x="381"/>
        <item x="24"/>
        <item x="541"/>
        <item x="805"/>
        <item x="549"/>
        <item x="798"/>
        <item x="714"/>
        <item x="492"/>
        <item x="250"/>
        <item x="336"/>
        <item x="747"/>
        <item x="854"/>
        <item x="163"/>
        <item x="655"/>
        <item x="825"/>
        <item x="119"/>
        <item x="951"/>
        <item x="739"/>
        <item x="676"/>
        <item x="334"/>
        <item x="814"/>
        <item x="407"/>
        <item x="67"/>
        <item x="659"/>
        <item x="728"/>
        <item x="735"/>
        <item x="451"/>
        <item x="712"/>
        <item x="654"/>
        <item x="500"/>
        <item x="218"/>
        <item x="933"/>
        <item x="875"/>
        <item x="87"/>
        <item x="237"/>
        <item x="331"/>
        <item x="577"/>
        <item x="335"/>
        <item x="848"/>
        <item x="620"/>
        <item x="856"/>
        <item x="367"/>
        <item x="48"/>
        <item x="717"/>
        <item x="325"/>
        <item x="787"/>
        <item x="557"/>
        <item x="17"/>
        <item x="356"/>
        <item x="60"/>
        <item x="806"/>
        <item x="28"/>
        <item x="448"/>
        <item x="349"/>
        <item x="819"/>
        <item x="185"/>
        <item x="216"/>
        <item x="688"/>
        <item x="454"/>
        <item x="845"/>
        <item x="413"/>
        <item x="553"/>
        <item x="663"/>
        <item x="2"/>
        <item x="345"/>
        <item x="388"/>
        <item x="264"/>
        <item x="51"/>
        <item x="456"/>
        <item x="114"/>
        <item x="584"/>
        <item x="20"/>
        <item x="586"/>
        <item x="569"/>
        <item x="837"/>
        <item x="278"/>
        <item x="162"/>
        <item x="608"/>
        <item x="811"/>
        <item x="29"/>
        <item x="592"/>
        <item x="95"/>
        <item x="449"/>
        <item x="959"/>
        <item x="864"/>
        <item x="398"/>
        <item x="269"/>
        <item x="860"/>
        <item x="920"/>
        <item x="171"/>
        <item x="70"/>
        <item x="619"/>
        <item x="606"/>
        <item x="550"/>
        <item x="664"/>
        <item x="917"/>
        <item x="177"/>
        <item x="408"/>
        <item x="473"/>
        <item x="318"/>
        <item x="175"/>
        <item x="470"/>
        <item x="195"/>
        <item x="536"/>
        <item x="368"/>
        <item x="225"/>
        <item x="261"/>
        <item x="226"/>
        <item x="433"/>
        <item x="130"/>
        <item x="497"/>
        <item x="738"/>
        <item x="43"/>
        <item x="687"/>
        <item x="246"/>
        <item x="397"/>
        <item x="750"/>
        <item x="103"/>
        <item x="210"/>
        <item x="238"/>
        <item x="178"/>
        <item x="423"/>
        <item x="483"/>
        <item x="634"/>
        <item x="900"/>
        <item x="652"/>
        <item x="150"/>
        <item x="587"/>
        <item x="151"/>
        <item x="222"/>
        <item x="637"/>
        <item x="428"/>
        <item x="522"/>
        <item x="629"/>
        <item x="366"/>
        <item x="539"/>
        <item x="597"/>
        <item x="595"/>
        <item x="510"/>
        <item x="696"/>
        <item x="444"/>
        <item x="309"/>
        <item x="615"/>
        <item x="524"/>
        <item x="244"/>
        <item x="61"/>
        <item x="221"/>
        <item x="681"/>
        <item x="582"/>
        <item x="949"/>
        <item x="518"/>
        <item x="35"/>
        <item x="213"/>
        <item x="796"/>
        <item x="791"/>
        <item x="33"/>
        <item x="157"/>
        <item x="891"/>
        <item x="850"/>
        <item x="200"/>
        <item x="499"/>
        <item x="554"/>
        <item x="826"/>
        <item x="842"/>
        <item x="180"/>
        <item x="882"/>
        <item x="319"/>
        <item x="895"/>
        <item x="379"/>
        <item x="680"/>
        <item x="421"/>
        <item x="479"/>
        <item x="685"/>
        <item x="332"/>
        <item x="205"/>
        <item t="default"/>
      </items>
    </pivotField>
    <pivotField dataField="1" numFmtId="10" showAll="0">
      <items count="987">
        <item x="0"/>
        <item x="908"/>
        <item x="492"/>
        <item x="100"/>
        <item x="819"/>
        <item x="269"/>
        <item x="923"/>
        <item x="890"/>
        <item x="50"/>
        <item x="729"/>
        <item x="537"/>
        <item x="169"/>
        <item x="248"/>
        <item x="615"/>
        <item x="129"/>
        <item x="136"/>
        <item x="202"/>
        <item x="593"/>
        <item x="213"/>
        <item x="446"/>
        <item x="712"/>
        <item x="945"/>
        <item x="298"/>
        <item x="883"/>
        <item x="513"/>
        <item x="588"/>
        <item x="388"/>
        <item x="304"/>
        <item x="649"/>
        <item x="218"/>
        <item x="197"/>
        <item x="318"/>
        <item x="290"/>
        <item x="933"/>
        <item x="374"/>
        <item x="765"/>
        <item x="170"/>
        <item x="419"/>
        <item x="234"/>
        <item x="411"/>
        <item x="524"/>
        <item x="385"/>
        <item x="631"/>
        <item x="355"/>
        <item x="63"/>
        <item x="891"/>
        <item x="556"/>
        <item x="586"/>
        <item x="734"/>
        <item x="928"/>
        <item x="371"/>
        <item x="482"/>
        <item x="604"/>
        <item x="500"/>
        <item x="375"/>
        <item x="785"/>
        <item x="343"/>
        <item x="110"/>
        <item x="529"/>
        <item x="316"/>
        <item x="538"/>
        <item x="291"/>
        <item x="478"/>
        <item x="633"/>
        <item x="430"/>
        <item x="572"/>
        <item x="146"/>
        <item x="284"/>
        <item x="719"/>
        <item x="670"/>
        <item x="913"/>
        <item x="123"/>
        <item x="281"/>
        <item x="571"/>
        <item x="364"/>
        <item x="942"/>
        <item x="315"/>
        <item x="897"/>
        <item x="8"/>
        <item x="191"/>
        <item x="894"/>
        <item x="702"/>
        <item x="308"/>
        <item x="660"/>
        <item x="139"/>
        <item x="6"/>
        <item x="207"/>
        <item x="959"/>
        <item x="509"/>
        <item x="327"/>
        <item x="254"/>
        <item x="188"/>
        <item x="857"/>
        <item x="494"/>
        <item x="488"/>
        <item x="506"/>
        <item x="69"/>
        <item x="321"/>
        <item x="536"/>
        <item x="443"/>
        <item x="706"/>
        <item x="103"/>
        <item x="437"/>
        <item x="864"/>
        <item x="781"/>
        <item x="174"/>
        <item x="453"/>
        <item x="934"/>
        <item x="268"/>
        <item x="885"/>
        <item x="957"/>
        <item x="612"/>
        <item x="875"/>
        <item x="472"/>
        <item x="731"/>
        <item x="736"/>
        <item x="797"/>
        <item x="780"/>
        <item x="458"/>
        <item x="832"/>
        <item x="481"/>
        <item x="756"/>
        <item x="259"/>
        <item x="167"/>
        <item x="300"/>
        <item x="185"/>
        <item x="187"/>
        <item x="272"/>
        <item x="932"/>
        <item x="517"/>
        <item x="727"/>
        <item x="656"/>
        <item x="666"/>
        <item x="98"/>
        <item x="313"/>
        <item x="782"/>
        <item x="52"/>
        <item x="493"/>
        <item x="750"/>
        <item x="344"/>
        <item x="439"/>
        <item x="349"/>
        <item x="739"/>
        <item x="847"/>
        <item x="293"/>
        <item x="406"/>
        <item x="903"/>
        <item x="353"/>
        <item x="711"/>
        <item x="779"/>
        <item x="866"/>
        <item x="83"/>
        <item x="533"/>
        <item x="190"/>
        <item x="325"/>
        <item x="126"/>
        <item x="317"/>
        <item x="204"/>
        <item x="869"/>
        <item x="468"/>
        <item x="384"/>
        <item x="508"/>
        <item x="502"/>
        <item x="966"/>
        <item x="972"/>
        <item x="398"/>
        <item x="376"/>
        <item x="420"/>
        <item x="464"/>
        <item x="21"/>
        <item x="640"/>
        <item x="233"/>
        <item x="342"/>
        <item x="648"/>
        <item x="511"/>
        <item x="625"/>
        <item x="854"/>
        <item x="665"/>
        <item x="412"/>
        <item x="547"/>
        <item x="450"/>
        <item x="560"/>
        <item x="215"/>
        <item x="66"/>
        <item x="192"/>
        <item x="914"/>
        <item x="324"/>
        <item x="405"/>
        <item x="424"/>
        <item x="77"/>
        <item x="651"/>
        <item x="15"/>
        <item x="45"/>
        <item x="495"/>
        <item x="11"/>
        <item x="26"/>
        <item x="637"/>
        <item x="91"/>
        <item x="642"/>
        <item x="19"/>
        <item x="611"/>
        <item x="767"/>
        <item x="926"/>
        <item x="761"/>
        <item x="924"/>
        <item x="716"/>
        <item x="444"/>
        <item x="900"/>
        <item x="808"/>
        <item x="771"/>
        <item x="39"/>
        <item x="794"/>
        <item x="840"/>
        <item x="818"/>
        <item x="297"/>
        <item x="127"/>
        <item x="9"/>
        <item x="576"/>
        <item x="974"/>
        <item x="886"/>
        <item x="980"/>
        <item x="156"/>
        <item x="479"/>
        <item x="347"/>
        <item x="198"/>
        <item x="341"/>
        <item x="249"/>
        <item x="693"/>
        <item x="429"/>
        <item x="653"/>
        <item x="473"/>
        <item x="566"/>
        <item x="288"/>
        <item x="372"/>
        <item x="786"/>
        <item x="294"/>
        <item x="413"/>
        <item x="510"/>
        <item x="664"/>
        <item x="632"/>
        <item x="449"/>
        <item x="985"/>
        <item x="984"/>
        <item x="757"/>
        <item x="414"/>
        <item x="901"/>
        <item x="904"/>
        <item x="545"/>
        <item x="906"/>
        <item x="153"/>
        <item x="352"/>
        <item x="3"/>
        <item x="688"/>
        <item x="109"/>
        <item x="939"/>
        <item x="650"/>
        <item x="128"/>
        <item x="93"/>
        <item x="983"/>
        <item x="956"/>
        <item x="730"/>
        <item x="180"/>
        <item x="87"/>
        <item x="409"/>
        <item x="927"/>
        <item x="623"/>
        <item x="798"/>
        <item x="569"/>
        <item x="935"/>
        <item x="641"/>
        <item x="195"/>
        <item x="448"/>
        <item x="379"/>
        <item x="396"/>
        <item x="685"/>
        <item x="417"/>
        <item x="575"/>
        <item x="658"/>
        <item x="872"/>
        <item x="150"/>
        <item x="122"/>
        <item x="629"/>
        <item x="622"/>
        <item x="929"/>
        <item x="583"/>
        <item x="570"/>
        <item x="154"/>
        <item x="766"/>
        <item x="389"/>
        <item x="340"/>
        <item x="314"/>
        <item x="14"/>
        <item x="18"/>
        <item x="971"/>
        <item x="208"/>
        <item x="677"/>
        <item x="426"/>
        <item x="368"/>
        <item x="749"/>
        <item x="189"/>
        <item x="817"/>
        <item x="182"/>
        <item x="863"/>
        <item x="4"/>
        <item x="846"/>
        <item x="79"/>
        <item x="938"/>
        <item x="496"/>
        <item x="504"/>
        <item x="135"/>
        <item x="346"/>
        <item x="184"/>
        <item x="918"/>
        <item x="534"/>
        <item x="581"/>
        <item x="982"/>
        <item x="155"/>
        <item x="963"/>
        <item x="306"/>
        <item x="175"/>
        <item x="825"/>
        <item x="307"/>
        <item x="383"/>
        <item x="229"/>
        <item x="264"/>
        <item x="800"/>
        <item x="655"/>
        <item x="618"/>
        <item x="865"/>
        <item x="979"/>
        <item x="76"/>
        <item x="160"/>
        <item x="627"/>
        <item x="90"/>
        <item x="200"/>
        <item x="582"/>
        <item x="630"/>
        <item x="27"/>
        <item x="337"/>
        <item x="523"/>
        <item x="769"/>
        <item x="477"/>
        <item x="931"/>
        <item x="652"/>
        <item x="584"/>
        <item x="442"/>
        <item x="301"/>
        <item x="428"/>
        <item x="171"/>
        <item x="626"/>
        <item x="282"/>
        <item x="669"/>
        <item x="558"/>
        <item x="519"/>
        <item x="686"/>
        <item x="520"/>
        <item x="691"/>
        <item x="339"/>
        <item x="949"/>
        <item x="410"/>
        <item x="874"/>
        <item x="968"/>
        <item x="946"/>
        <item x="399"/>
        <item x="673"/>
        <item x="32"/>
        <item x="759"/>
        <item x="789"/>
        <item x="115"/>
        <item x="976"/>
        <item x="116"/>
        <item x="778"/>
        <item x="643"/>
        <item x="639"/>
        <item x="540"/>
        <item x="717"/>
        <item x="251"/>
        <item x="12"/>
        <item x="401"/>
        <item x="134"/>
        <item x="824"/>
        <item x="54"/>
        <item x="858"/>
        <item x="455"/>
        <item x="722"/>
        <item x="684"/>
        <item x="425"/>
        <item x="323"/>
        <item x="279"/>
        <item x="525"/>
        <item x="51"/>
        <item x="723"/>
        <item x="803"/>
        <item x="499"/>
        <item x="742"/>
        <item x="61"/>
        <item x="638"/>
        <item x="152"/>
        <item x="221"/>
        <item x="565"/>
        <item x="319"/>
        <item x="295"/>
        <item x="338"/>
        <item x="209"/>
        <item x="526"/>
        <item x="138"/>
        <item x="177"/>
        <item x="274"/>
        <item x="334"/>
        <item x="672"/>
        <item x="64"/>
        <item x="237"/>
        <item x="286"/>
        <item x="654"/>
        <item x="546"/>
        <item x="219"/>
        <item x="696"/>
        <item x="833"/>
        <item x="522"/>
        <item x="777"/>
        <item x="590"/>
        <item x="158"/>
        <item x="163"/>
        <item x="709"/>
        <item x="829"/>
        <item x="476"/>
        <item x="681"/>
        <item x="131"/>
        <item x="553"/>
        <item x="573"/>
        <item x="206"/>
        <item x="485"/>
        <item x="141"/>
        <item x="514"/>
        <item x="239"/>
        <item x="843"/>
        <item x="452"/>
        <item x="407"/>
        <item x="28"/>
        <item x="849"/>
        <item x="770"/>
        <item x="792"/>
        <item x="280"/>
        <item x="71"/>
        <item x="459"/>
        <item x="955"/>
        <item x="820"/>
        <item x="232"/>
        <item x="787"/>
        <item x="925"/>
        <item x="567"/>
        <item x="512"/>
        <item x="503"/>
        <item x="20"/>
        <item x="917"/>
        <item x="147"/>
        <item x="24"/>
        <item x="423"/>
        <item x="95"/>
        <item x="977"/>
        <item x="753"/>
        <item x="762"/>
        <item x="842"/>
        <item x="471"/>
        <item x="628"/>
        <item x="333"/>
        <item x="46"/>
        <item x="774"/>
        <item x="878"/>
        <item x="132"/>
        <item x="431"/>
        <item x="532"/>
        <item x="915"/>
        <item x="118"/>
        <item x="873"/>
        <item x="451"/>
        <item x="505"/>
        <item x="947"/>
        <item x="578"/>
        <item x="596"/>
        <item x="226"/>
        <item x="111"/>
        <item x="634"/>
        <item x="253"/>
        <item x="602"/>
        <item x="148"/>
        <item x="164"/>
        <item x="663"/>
        <item x="386"/>
        <item x="74"/>
        <item x="193"/>
        <item x="695"/>
        <item x="335"/>
        <item x="447"/>
        <item x="667"/>
        <item x="433"/>
        <item x="263"/>
        <item x="415"/>
        <item x="351"/>
        <item x="70"/>
        <item x="331"/>
        <item x="784"/>
        <item x="813"/>
        <item x="644"/>
        <item x="943"/>
        <item x="418"/>
        <item x="348"/>
        <item x="240"/>
        <item x="697"/>
        <item x="22"/>
        <item x="881"/>
        <item x="595"/>
        <item x="416"/>
        <item x="144"/>
        <item x="392"/>
        <item x="804"/>
        <item x="85"/>
        <item x="600"/>
        <item x="2"/>
        <item x="404"/>
        <item x="305"/>
        <item x="84"/>
        <item x="838"/>
        <item x="460"/>
        <item x="326"/>
        <item x="687"/>
        <item x="715"/>
        <item x="201"/>
        <item x="764"/>
        <item x="143"/>
        <item x="728"/>
        <item x="953"/>
        <item x="165"/>
        <item x="271"/>
        <item x="552"/>
        <item x="220"/>
        <item x="557"/>
        <item x="827"/>
        <item x="507"/>
        <item x="605"/>
        <item x="845"/>
        <item x="37"/>
        <item x="53"/>
        <item x="457"/>
        <item x="773"/>
        <item x="683"/>
        <item x="700"/>
        <item x="830"/>
        <item x="104"/>
        <item x="965"/>
        <item x="56"/>
        <item x="296"/>
        <item x="60"/>
        <item x="105"/>
        <item x="635"/>
        <item x="516"/>
        <item x="969"/>
        <item x="255"/>
        <item x="382"/>
        <item x="579"/>
        <item x="701"/>
        <item x="120"/>
        <item x="161"/>
        <item x="531"/>
        <item x="674"/>
        <item x="35"/>
        <item x="75"/>
        <item x="34"/>
        <item x="548"/>
        <item x="621"/>
        <item x="210"/>
        <item x="970"/>
        <item x="689"/>
        <item x="710"/>
        <item x="823"/>
        <item x="587"/>
        <item x="961"/>
        <item x="214"/>
        <item x="130"/>
        <item x="607"/>
        <item x="902"/>
        <item x="521"/>
        <item x="888"/>
        <item x="713"/>
        <item x="36"/>
        <item x="740"/>
        <item x="981"/>
        <item x="822"/>
        <item x="258"/>
        <item x="231"/>
        <item x="698"/>
        <item x="528"/>
        <item x="367"/>
        <item x="235"/>
        <item x="17"/>
        <item x="930"/>
        <item x="125"/>
        <item x="616"/>
        <item x="360"/>
        <item x="377"/>
        <item x="30"/>
        <item x="936"/>
        <item x="436"/>
        <item x="704"/>
        <item x="592"/>
        <item x="159"/>
        <item x="67"/>
        <item x="855"/>
        <item x="893"/>
        <item x="172"/>
        <item x="541"/>
        <item x="892"/>
        <item x="322"/>
        <item x="922"/>
        <item x="718"/>
        <item x="320"/>
        <item x="745"/>
        <item x="393"/>
        <item x="86"/>
        <item x="744"/>
        <item x="225"/>
        <item x="40"/>
        <item x="877"/>
        <item x="860"/>
        <item x="608"/>
        <item x="277"/>
        <item x="597"/>
        <item x="230"/>
        <item x="456"/>
        <item x="381"/>
        <item x="358"/>
        <item x="5"/>
        <item x="394"/>
        <item x="117"/>
        <item x="606"/>
        <item x="692"/>
        <item x="909"/>
        <item x="659"/>
        <item x="440"/>
        <item x="752"/>
        <item x="55"/>
        <item x="469"/>
        <item x="967"/>
        <item x="483"/>
        <item x="434"/>
        <item x="336"/>
        <item x="498"/>
        <item x="266"/>
        <item x="921"/>
        <item x="402"/>
        <item x="907"/>
        <item x="378"/>
        <item x="465"/>
        <item x="856"/>
        <item x="252"/>
        <item x="354"/>
        <item x="328"/>
        <item x="720"/>
        <item x="853"/>
        <item x="43"/>
        <item x="562"/>
        <item x="107"/>
        <item x="387"/>
        <item x="332"/>
        <item x="598"/>
        <item x="850"/>
        <item x="461"/>
        <item x="861"/>
        <item x="599"/>
        <item x="788"/>
        <item x="882"/>
        <item x="609"/>
        <item x="49"/>
        <item x="668"/>
        <item x="828"/>
        <item x="763"/>
        <item x="647"/>
        <item x="486"/>
        <item x="678"/>
        <item x="427"/>
        <item x="775"/>
        <item x="799"/>
        <item x="227"/>
        <item x="211"/>
        <item x="99"/>
        <item x="791"/>
        <item x="834"/>
        <item x="438"/>
        <item x="898"/>
        <item x="551"/>
        <item x="330"/>
        <item x="591"/>
        <item x="790"/>
        <item x="309"/>
        <item x="559"/>
        <item x="619"/>
        <item x="594"/>
        <item x="839"/>
        <item x="755"/>
        <item x="589"/>
        <item x="285"/>
        <item x="876"/>
        <item x="246"/>
        <item x="919"/>
        <item x="737"/>
        <item x="41"/>
        <item x="119"/>
        <item x="57"/>
        <item x="772"/>
        <item x="216"/>
        <item x="25"/>
        <item x="973"/>
        <item x="916"/>
        <item x="96"/>
        <item x="561"/>
        <item x="121"/>
        <item x="149"/>
        <item x="484"/>
        <item x="157"/>
        <item x="636"/>
        <item x="140"/>
        <item x="549"/>
        <item x="912"/>
        <item x="81"/>
        <item x="380"/>
        <item x="801"/>
        <item x="357"/>
        <item x="682"/>
        <item x="58"/>
        <item x="958"/>
        <item x="868"/>
        <item x="738"/>
        <item x="390"/>
        <item x="186"/>
        <item x="142"/>
        <item x="880"/>
        <item x="758"/>
        <item x="741"/>
        <item x="265"/>
        <item x="65"/>
        <item x="474"/>
        <item x="145"/>
        <item x="563"/>
        <item x="905"/>
        <item x="836"/>
        <item x="910"/>
        <item x="871"/>
        <item x="802"/>
        <item x="657"/>
        <item x="920"/>
        <item x="550"/>
        <item x="273"/>
        <item x="13"/>
        <item x="708"/>
        <item x="610"/>
        <item x="848"/>
        <item x="889"/>
        <item x="89"/>
        <item x="267"/>
        <item x="162"/>
        <item x="68"/>
        <item x="743"/>
        <item x="879"/>
        <item x="92"/>
        <item x="223"/>
        <item x="480"/>
        <item x="88"/>
        <item x="137"/>
        <item x="796"/>
        <item x="535"/>
        <item x="10"/>
        <item x="816"/>
        <item x="613"/>
        <item x="256"/>
        <item x="793"/>
        <item x="112"/>
        <item x="714"/>
        <item x="760"/>
        <item x="543"/>
        <item x="859"/>
        <item x="366"/>
        <item x="247"/>
        <item x="59"/>
        <item x="539"/>
        <item x="365"/>
        <item x="617"/>
        <item x="102"/>
        <item x="601"/>
        <item x="544"/>
        <item x="466"/>
        <item x="303"/>
        <item x="421"/>
        <item x="810"/>
        <item x="183"/>
        <item x="312"/>
        <item x="948"/>
        <item x="196"/>
        <item x="356"/>
        <item x="78"/>
        <item x="94"/>
        <item x="270"/>
        <item x="487"/>
        <item x="564"/>
        <item x="179"/>
        <item x="31"/>
        <item x="310"/>
        <item x="624"/>
        <item x="133"/>
        <item x="694"/>
        <item x="260"/>
        <item x="821"/>
        <item x="400"/>
        <item x="467"/>
        <item x="725"/>
        <item x="895"/>
        <item x="962"/>
        <item x="577"/>
        <item x="38"/>
        <item x="244"/>
        <item x="276"/>
        <item x="7"/>
        <item x="29"/>
        <item x="462"/>
        <item x="23"/>
        <item x="217"/>
        <item x="954"/>
        <item x="837"/>
        <item x="574"/>
        <item x="862"/>
        <item x="852"/>
        <item x="811"/>
        <item x="454"/>
        <item x="726"/>
        <item x="435"/>
        <item x="950"/>
        <item x="403"/>
        <item x="844"/>
        <item x="812"/>
        <item x="178"/>
        <item x="675"/>
        <item x="661"/>
        <item x="106"/>
        <item x="373"/>
        <item x="194"/>
        <item x="262"/>
        <item x="470"/>
        <item x="224"/>
        <item x="940"/>
        <item x="124"/>
        <item x="806"/>
        <item x="568"/>
        <item x="555"/>
        <item x="870"/>
        <item x="261"/>
        <item x="359"/>
        <item x="960"/>
        <item x="113"/>
        <item x="33"/>
        <item x="951"/>
        <item x="851"/>
        <item x="48"/>
        <item x="814"/>
        <item x="311"/>
        <item x="222"/>
        <item x="747"/>
        <item x="887"/>
        <item x="350"/>
        <item x="721"/>
        <item x="491"/>
        <item x="166"/>
        <item x="176"/>
        <item x="238"/>
        <item x="603"/>
        <item x="228"/>
        <item x="236"/>
        <item x="151"/>
        <item x="168"/>
        <item x="205"/>
        <item x="515"/>
        <item x="978"/>
        <item x="680"/>
        <item x="203"/>
        <item x="329"/>
        <item x="42"/>
        <item x="241"/>
        <item x="690"/>
        <item x="289"/>
        <item x="815"/>
        <item x="662"/>
        <item x="391"/>
        <item x="705"/>
        <item x="47"/>
        <item x="896"/>
        <item x="530"/>
        <item x="911"/>
        <item x="975"/>
        <item x="527"/>
        <item x="646"/>
        <item x="835"/>
        <item x="243"/>
        <item x="441"/>
        <item x="475"/>
        <item x="707"/>
        <item x="724"/>
        <item x="497"/>
        <item x="676"/>
        <item x="867"/>
        <item x="302"/>
        <item x="490"/>
        <item x="831"/>
        <item x="748"/>
        <item x="242"/>
        <item x="422"/>
        <item x="463"/>
        <item x="278"/>
        <item x="363"/>
        <item x="108"/>
        <item x="257"/>
        <item x="805"/>
        <item x="614"/>
        <item x="250"/>
        <item x="80"/>
        <item x="16"/>
        <item x="841"/>
        <item x="751"/>
        <item x="44"/>
        <item x="73"/>
        <item x="408"/>
        <item x="72"/>
        <item x="199"/>
        <item x="620"/>
        <item x="518"/>
        <item x="283"/>
        <item x="699"/>
        <item x="735"/>
        <item x="395"/>
        <item x="181"/>
        <item x="62"/>
        <item x="489"/>
        <item x="114"/>
        <item x="754"/>
        <item x="776"/>
        <item x="370"/>
        <item x="362"/>
        <item x="944"/>
        <item x="746"/>
        <item x="884"/>
        <item x="768"/>
        <item x="952"/>
        <item x="554"/>
        <item x="899"/>
        <item x="809"/>
        <item x="826"/>
        <item x="964"/>
        <item x="173"/>
        <item x="97"/>
        <item x="501"/>
        <item x="679"/>
        <item x="245"/>
        <item x="580"/>
        <item x="445"/>
        <item x="542"/>
        <item x="101"/>
        <item x="212"/>
        <item x="671"/>
        <item x="585"/>
        <item x="1"/>
        <item x="432"/>
        <item x="275"/>
        <item x="807"/>
        <item x="937"/>
        <item x="941"/>
        <item x="733"/>
        <item x="732"/>
        <item x="795"/>
        <item x="783"/>
        <item x="292"/>
        <item x="299"/>
        <item x="345"/>
        <item x="82"/>
        <item x="397"/>
        <item x="369"/>
        <item x="361"/>
        <item x="287"/>
        <item x="703"/>
        <item x="645"/>
        <item t="default"/>
      </items>
    </pivotField>
    <pivotField showAll="0"/>
    <pivotField showAll="0"/>
    <pivotField showAll="0">
      <items count="986">
        <item x="0"/>
        <item x="100"/>
        <item x="50"/>
        <item x="248"/>
        <item x="446"/>
        <item x="298"/>
        <item x="420"/>
        <item x="364"/>
        <item x="850"/>
        <item x="897"/>
        <item x="568"/>
        <item x="709"/>
        <item x="657"/>
        <item x="665"/>
        <item x="819"/>
        <item x="403"/>
        <item x="714"/>
        <item x="268"/>
        <item x="726"/>
        <item x="277"/>
        <item x="283"/>
        <item x="171"/>
        <item x="902"/>
        <item x="324"/>
        <item x="854"/>
        <item x="122"/>
        <item x="970"/>
        <item x="247"/>
        <item x="563"/>
        <item x="549"/>
        <item x="969"/>
        <item x="745"/>
        <item x="352"/>
        <item x="900"/>
        <item x="753"/>
        <item x="264"/>
        <item x="415"/>
        <item x="43"/>
        <item x="690"/>
        <item x="466"/>
        <item x="98"/>
        <item x="493"/>
        <item x="729"/>
        <item x="604"/>
        <item x="638"/>
        <item x="130"/>
        <item x="972"/>
        <item x="710"/>
        <item x="791"/>
        <item x="208"/>
        <item x="521"/>
        <item x="453"/>
        <item x="410"/>
        <item x="447"/>
        <item x="67"/>
        <item x="660"/>
        <item x="837"/>
        <item x="58"/>
        <item x="388"/>
        <item x="349"/>
        <item x="735"/>
        <item x="146"/>
        <item x="517"/>
        <item x="442"/>
        <item x="367"/>
        <item x="640"/>
        <item x="223"/>
        <item x="262"/>
        <item x="411"/>
        <item x="684"/>
        <item x="622"/>
        <item x="59"/>
        <item x="325"/>
        <item x="492"/>
        <item x="930"/>
        <item x="741"/>
        <item x="117"/>
        <item x="774"/>
        <item x="8"/>
        <item x="894"/>
        <item x="523"/>
        <item x="152"/>
        <item x="216"/>
        <item x="645"/>
        <item x="102"/>
        <item x="394"/>
        <item x="312"/>
        <item x="183"/>
        <item x="57"/>
        <item x="907"/>
        <item x="486"/>
        <item x="731"/>
        <item x="759"/>
        <item x="861"/>
        <item x="817"/>
        <item x="185"/>
        <item x="269"/>
        <item x="792"/>
        <item x="888"/>
        <item x="52"/>
        <item x="844"/>
        <item x="784"/>
        <item x="723"/>
        <item x="618"/>
        <item x="177"/>
        <item x="766"/>
        <item x="828"/>
        <item x="762"/>
        <item x="931"/>
        <item x="341"/>
        <item x="770"/>
        <item x="982"/>
        <item x="291"/>
        <item x="482"/>
        <item x="918"/>
        <item x="826"/>
        <item x="971"/>
        <item x="565"/>
        <item x="112"/>
        <item x="33"/>
        <item x="26"/>
        <item x="602"/>
        <item x="191"/>
        <item x="439"/>
        <item x="197"/>
        <item x="42"/>
        <item x="293"/>
        <item x="501"/>
        <item x="162"/>
        <item x="668"/>
        <item x="511"/>
        <item x="440"/>
        <item x="740"/>
        <item x="966"/>
        <item x="278"/>
        <item x="934"/>
        <item x="869"/>
        <item x="451"/>
        <item x="744"/>
        <item x="863"/>
        <item x="498"/>
        <item x="190"/>
        <item x="95"/>
        <item x="184"/>
        <item x="322"/>
        <item x="906"/>
        <item x="271"/>
        <item x="546"/>
        <item x="320"/>
        <item x="639"/>
        <item x="495"/>
        <item x="32"/>
        <item x="249"/>
        <item x="258"/>
        <item x="311"/>
        <item x="24"/>
        <item x="460"/>
        <item x="233"/>
        <item x="180"/>
        <item x="218"/>
        <item x="538"/>
        <item x="297"/>
        <item x="670"/>
        <item x="471"/>
        <item x="286"/>
        <item x="672"/>
        <item x="287"/>
        <item x="83"/>
        <item x="211"/>
        <item x="908"/>
        <item x="274"/>
        <item x="600"/>
        <item x="738"/>
        <item x="947"/>
        <item x="374"/>
        <item x="473"/>
        <item x="872"/>
        <item x="182"/>
        <item x="520"/>
        <item x="381"/>
        <item x="412"/>
        <item x="346"/>
        <item x="78"/>
        <item x="299"/>
        <item x="755"/>
        <item x="950"/>
        <item x="307"/>
        <item x="846"/>
        <item x="572"/>
        <item x="870"/>
        <item x="875"/>
        <item x="392"/>
        <item x="167"/>
        <item x="174"/>
        <item x="797"/>
        <item x="389"/>
        <item x="860"/>
        <item x="213"/>
        <item x="666"/>
        <item x="315"/>
        <item x="240"/>
        <item x="683"/>
        <item x="481"/>
        <item x="795"/>
        <item x="981"/>
        <item x="201"/>
        <item x="763"/>
        <item x="941"/>
        <item x="241"/>
        <item x="591"/>
        <item x="808"/>
        <item x="132"/>
        <item x="948"/>
        <item x="946"/>
        <item x="582"/>
        <item x="292"/>
        <item x="823"/>
        <item x="115"/>
        <item x="435"/>
        <item x="164"/>
        <item x="534"/>
        <item x="707"/>
        <item x="789"/>
        <item x="503"/>
        <item x="658"/>
        <item x="54"/>
        <item x="893"/>
        <item x="644"/>
        <item x="19"/>
        <item x="328"/>
        <item x="178"/>
        <item x="937"/>
        <item x="606"/>
        <item x="786"/>
        <item x="235"/>
        <item x="49"/>
        <item x="18"/>
        <item x="450"/>
        <item x="852"/>
        <item x="976"/>
        <item x="397"/>
        <item x="46"/>
        <item x="916"/>
        <item x="192"/>
        <item x="935"/>
        <item x="135"/>
        <item x="136"/>
        <item x="147"/>
        <item x="892"/>
        <item x="588"/>
        <item x="357"/>
        <item x="667"/>
        <item x="390"/>
        <item x="414"/>
        <item x="348"/>
        <item x="878"/>
        <item x="742"/>
        <item x="331"/>
        <item x="125"/>
        <item x="422"/>
        <item x="377"/>
        <item x="47"/>
        <item x="220"/>
        <item x="673"/>
        <item x="800"/>
        <item x="575"/>
        <item x="79"/>
        <item x="31"/>
        <item x="393"/>
        <item x="557"/>
        <item x="94"/>
        <item x="527"/>
        <item x="480"/>
        <item x="310"/>
        <item x="630"/>
        <item x="890"/>
        <item x="260"/>
        <item x="355"/>
        <item x="747"/>
        <item x="406"/>
        <item x="123"/>
        <item x="555"/>
        <item x="382"/>
        <item x="648"/>
        <item x="371"/>
        <item x="584"/>
        <item x="889"/>
        <item x="317"/>
        <item x="702"/>
        <item x="610"/>
        <item x="467"/>
        <item x="417"/>
        <item x="472"/>
        <item x="207"/>
        <item x="944"/>
        <item x="780"/>
        <item x="490"/>
        <item x="917"/>
        <item x="581"/>
        <item x="109"/>
        <item x="272"/>
        <item x="195"/>
        <item x="433"/>
        <item x="680"/>
        <item x="265"/>
        <item x="914"/>
        <item x="222"/>
        <item x="151"/>
        <item x="567"/>
        <item x="281"/>
        <item x="776"/>
        <item x="787"/>
        <item x="504"/>
        <item x="842"/>
        <item x="436"/>
        <item x="598"/>
        <item x="48"/>
        <item x="627"/>
        <item x="508"/>
        <item x="974"/>
        <item x="316"/>
        <item x="760"/>
        <item x="560"/>
        <item x="526"/>
        <item x="326"/>
        <item x="418"/>
        <item x="455"/>
        <item x="261"/>
        <item x="576"/>
        <item x="552"/>
        <item x="880"/>
        <item x="754"/>
        <item x="843"/>
        <item x="437"/>
        <item x="785"/>
        <item x="891"/>
        <item x="232"/>
        <item x="432"/>
        <item x="951"/>
        <item x="219"/>
        <item x="887"/>
        <item x="756"/>
        <item x="165"/>
        <item x="530"/>
        <item x="80"/>
        <item x="798"/>
        <item x="628"/>
        <item x="984"/>
        <item x="399"/>
        <item x="454"/>
        <item x="617"/>
        <item x="556"/>
        <item x="101"/>
        <item x="676"/>
        <item x="74"/>
        <item x="266"/>
        <item x="694"/>
        <item x="608"/>
        <item x="76"/>
        <item x="253"/>
        <item x="536"/>
        <item x="39"/>
        <item x="848"/>
        <item x="857"/>
        <item x="881"/>
        <item x="925"/>
        <item x="160"/>
        <item x="599"/>
        <item x="904"/>
        <item x="90"/>
        <item x="463"/>
        <item x="259"/>
        <item x="871"/>
        <item x="957"/>
        <item x="62"/>
        <item x="811"/>
        <item x="635"/>
        <item x="161"/>
        <item x="650"/>
        <item x="768"/>
        <item x="956"/>
        <item x="510"/>
        <item x="68"/>
        <item x="181"/>
        <item x="176"/>
        <item x="647"/>
        <item x="474"/>
        <item x="368"/>
        <item x="139"/>
        <item x="53"/>
        <item x="372"/>
        <item x="314"/>
        <item x="360"/>
        <item x="646"/>
        <item x="497"/>
        <item x="544"/>
        <item x="625"/>
        <item x="150"/>
        <item x="788"/>
        <item x="434"/>
        <item x="558"/>
        <item x="246"/>
        <item x="6"/>
        <item x="562"/>
        <item x="401"/>
        <item x="209"/>
        <item x="141"/>
        <item x="541"/>
        <item x="717"/>
        <item x="65"/>
        <item x="586"/>
        <item x="86"/>
        <item x="204"/>
        <item x="737"/>
        <item x="282"/>
        <item x="960"/>
        <item x="28"/>
        <item x="215"/>
        <item x="752"/>
        <item x="531"/>
        <item x="597"/>
        <item x="514"/>
        <item x="594"/>
        <item x="413"/>
        <item x="688"/>
        <item x="378"/>
        <item x="10"/>
        <item x="424"/>
        <item x="836"/>
        <item x="120"/>
        <item x="512"/>
        <item x="441"/>
        <item x="553"/>
        <item x="202"/>
        <item x="230"/>
        <item x="611"/>
        <item x="525"/>
        <item x="528"/>
        <item x="356"/>
        <item x="254"/>
        <item x="830"/>
        <item x="334"/>
        <item x="70"/>
        <item x="579"/>
        <item x="803"/>
        <item x="818"/>
        <item x="824"/>
        <item x="7"/>
        <item x="465"/>
        <item x="915"/>
        <item x="821"/>
        <item x="227"/>
        <item x="96"/>
        <item x="319"/>
        <item x="691"/>
        <item x="295"/>
        <item x="426"/>
        <item x="708"/>
        <item x="814"/>
        <item x="305"/>
        <item x="244"/>
        <item x="140"/>
        <item x="573"/>
        <item x="727"/>
        <item x="345"/>
        <item x="502"/>
        <item x="686"/>
        <item x="396"/>
        <item x="376"/>
        <item x="103"/>
        <item x="457"/>
        <item x="226"/>
        <item x="578"/>
        <item x="595"/>
        <item x="585"/>
        <item x="746"/>
        <item x="899"/>
        <item x="809"/>
        <item x="655"/>
        <item x="131"/>
        <item x="592"/>
        <item x="491"/>
        <item x="767"/>
        <item x="772"/>
        <item x="280"/>
        <item x="416"/>
        <item x="624"/>
        <item x="36"/>
        <item x="699"/>
        <item x="400"/>
        <item x="663"/>
        <item x="459"/>
        <item x="238"/>
        <item x="243"/>
        <item x="21"/>
        <item x="677"/>
        <item x="193"/>
        <item x="569"/>
        <item x="119"/>
        <item x="620"/>
        <item x="365"/>
        <item x="149"/>
        <item x="296"/>
        <item x="343"/>
        <item x="816"/>
        <item x="629"/>
        <item x="428"/>
        <item x="873"/>
        <item x="868"/>
        <item x="56"/>
        <item x="375"/>
        <item x="263"/>
        <item x="203"/>
        <item x="685"/>
        <item x="519"/>
        <item x="506"/>
        <item x="487"/>
        <item x="777"/>
        <item x="155"/>
        <item x="589"/>
        <item x="681"/>
        <item x="475"/>
        <item x="953"/>
        <item x="290"/>
        <item x="64"/>
        <item x="110"/>
        <item x="927"/>
        <item x="359"/>
        <item x="574"/>
        <item x="782"/>
        <item x="621"/>
        <item x="943"/>
        <item x="256"/>
        <item x="704"/>
        <item x="9"/>
        <item x="856"/>
        <item x="548"/>
        <item x="841"/>
        <item x="593"/>
        <item x="279"/>
        <item x="25"/>
        <item x="210"/>
        <item x="304"/>
        <item x="720"/>
        <item x="661"/>
        <item x="793"/>
        <item x="607"/>
        <item x="398"/>
        <item x="156"/>
        <item x="874"/>
        <item x="758"/>
        <item x="933"/>
        <item x="623"/>
        <item x="336"/>
        <item x="166"/>
        <item x="615"/>
        <item x="198"/>
        <item x="779"/>
        <item x="72"/>
        <item x="815"/>
        <item x="980"/>
        <item x="187"/>
        <item x="444"/>
        <item x="701"/>
        <item x="438"/>
        <item x="285"/>
        <item x="380"/>
        <item x="40"/>
        <item x="783"/>
        <item x="242"/>
        <item x="38"/>
        <item x="773"/>
        <item x="605"/>
        <item x="5"/>
        <item x="234"/>
        <item x="921"/>
        <item x="107"/>
        <item x="154"/>
        <item x="840"/>
        <item x="805"/>
        <item x="652"/>
        <item x="879"/>
        <item x="237"/>
        <item x="973"/>
        <item x="478"/>
        <item x="289"/>
        <item x="634"/>
        <item x="654"/>
        <item x="885"/>
        <item x="145"/>
        <item x="339"/>
        <item x="952"/>
        <item x="539"/>
        <item x="488"/>
        <item x="329"/>
        <item x="849"/>
        <item x="962"/>
        <item x="847"/>
        <item x="903"/>
        <item x="838"/>
        <item x="876"/>
        <item x="257"/>
        <item x="168"/>
        <item x="423"/>
        <item x="370"/>
        <item x="542"/>
        <item x="361"/>
        <item x="675"/>
        <item x="404"/>
        <item x="771"/>
        <item x="127"/>
        <item x="559"/>
        <item x="750"/>
        <item x="159"/>
        <item x="845"/>
        <item x="659"/>
        <item x="77"/>
        <item x="200"/>
        <item x="898"/>
        <item x="596"/>
        <item x="867"/>
        <item x="494"/>
        <item x="587"/>
        <item x="128"/>
        <item x="138"/>
        <item x="922"/>
        <item x="543"/>
        <item x="302"/>
        <item x="323"/>
        <item x="839"/>
        <item x="564"/>
        <item x="968"/>
        <item x="612"/>
        <item x="425"/>
        <item x="651"/>
        <item x="350"/>
        <item x="601"/>
        <item x="251"/>
        <item x="719"/>
        <item x="273"/>
        <item x="967"/>
        <item x="862"/>
        <item x="831"/>
        <item x="802"/>
        <item x="179"/>
        <item x="61"/>
        <item x="196"/>
        <item x="270"/>
        <item x="456"/>
        <item x="229"/>
        <item x="169"/>
        <item x="321"/>
        <item x="697"/>
        <item x="529"/>
        <item x="87"/>
        <item x="429"/>
        <item x="671"/>
        <item x="82"/>
        <item x="796"/>
        <item x="829"/>
        <item x="483"/>
        <item x="812"/>
        <item x="825"/>
        <item x="910"/>
        <item x="858"/>
        <item x="337"/>
        <item x="469"/>
        <item x="932"/>
        <item x="865"/>
        <item x="421"/>
        <item x="513"/>
        <item x="369"/>
        <item x="712"/>
        <item x="949"/>
        <item x="725"/>
        <item x="964"/>
        <item x="15"/>
        <item x="60"/>
        <item x="34"/>
        <item x="22"/>
        <item x="945"/>
        <item x="721"/>
        <item x="609"/>
        <item x="71"/>
        <item x="353"/>
        <item x="518"/>
        <item x="711"/>
        <item x="75"/>
        <item x="642"/>
        <item x="443"/>
        <item x="790"/>
        <item x="613"/>
        <item x="144"/>
        <item x="129"/>
        <item x="379"/>
        <item x="116"/>
        <item x="212"/>
        <item x="764"/>
        <item x="751"/>
        <item x="923"/>
        <item x="449"/>
        <item x="333"/>
        <item x="479"/>
        <item x="728"/>
        <item x="700"/>
        <item x="301"/>
        <item x="133"/>
        <item x="405"/>
        <item x="637"/>
        <item x="221"/>
        <item x="979"/>
        <item x="386"/>
        <item x="853"/>
        <item x="522"/>
        <item x="743"/>
        <item x="330"/>
        <item x="294"/>
        <item x="656"/>
        <item x="813"/>
        <item x="338"/>
        <item x="104"/>
        <item x="913"/>
        <item x="385"/>
        <item x="89"/>
        <item x="387"/>
        <item x="55"/>
        <item x="275"/>
        <item x="126"/>
        <item x="749"/>
        <item x="590"/>
        <item x="810"/>
        <item x="217"/>
        <item x="703"/>
        <item x="614"/>
        <item x="884"/>
        <item x="430"/>
        <item x="524"/>
        <item x="255"/>
        <item x="713"/>
        <item x="85"/>
        <item x="583"/>
        <item x="199"/>
        <item x="99"/>
        <item x="954"/>
        <item x="715"/>
        <item x="919"/>
        <item x="718"/>
        <item x="961"/>
        <item x="696"/>
        <item x="81"/>
        <item x="1"/>
        <item x="540"/>
        <item x="616"/>
        <item x="535"/>
        <item x="928"/>
        <item x="905"/>
        <item x="832"/>
        <item x="716"/>
        <item x="509"/>
        <item x="827"/>
        <item x="926"/>
        <item x="959"/>
        <item x="619"/>
        <item x="373"/>
        <item x="963"/>
        <item x="570"/>
        <item x="29"/>
        <item x="533"/>
        <item x="566"/>
        <item x="14"/>
        <item x="137"/>
        <item x="303"/>
        <item x="938"/>
        <item x="351"/>
        <item x="822"/>
        <item x="45"/>
        <item x="118"/>
        <item x="462"/>
        <item x="942"/>
        <item x="113"/>
        <item x="452"/>
        <item x="134"/>
        <item x="505"/>
        <item x="153"/>
        <item x="106"/>
        <item x="366"/>
        <item x="807"/>
        <item x="186"/>
        <item x="674"/>
        <item x="35"/>
        <item x="724"/>
        <item x="580"/>
        <item x="547"/>
        <item x="653"/>
        <item x="252"/>
        <item x="276"/>
        <item x="231"/>
        <item x="765"/>
        <item x="687"/>
        <item x="383"/>
        <item x="206"/>
        <item x="695"/>
        <item x="940"/>
        <item x="419"/>
        <item x="955"/>
        <item x="781"/>
        <item x="340"/>
        <item x="851"/>
        <item x="643"/>
        <item x="245"/>
        <item x="507"/>
        <item x="224"/>
        <item x="448"/>
        <item x="142"/>
        <item x="571"/>
        <item x="859"/>
        <item x="300"/>
        <item x="649"/>
        <item x="205"/>
        <item x="51"/>
        <item x="308"/>
        <item x="632"/>
        <item x="395"/>
        <item x="4"/>
        <item x="476"/>
        <item x="732"/>
        <item x="407"/>
        <item x="228"/>
        <item x="342"/>
        <item x="499"/>
        <item x="2"/>
        <item x="977"/>
        <item x="384"/>
        <item x="172"/>
        <item x="288"/>
        <item x="939"/>
        <item x="669"/>
        <item x="909"/>
        <item x="983"/>
        <item x="318"/>
        <item x="445"/>
        <item x="464"/>
        <item x="484"/>
        <item x="978"/>
        <item x="835"/>
        <item x="267"/>
        <item x="736"/>
        <item x="124"/>
        <item x="489"/>
        <item x="327"/>
        <item x="775"/>
        <item x="515"/>
        <item x="239"/>
        <item x="706"/>
        <item x="833"/>
        <item x="936"/>
        <item x="188"/>
        <item x="678"/>
        <item x="896"/>
        <item x="551"/>
        <item x="12"/>
        <item x="778"/>
        <item x="886"/>
        <item x="866"/>
        <item x="855"/>
        <item x="470"/>
        <item x="603"/>
        <item x="864"/>
        <item x="698"/>
        <item x="3"/>
        <item x="911"/>
        <item x="105"/>
        <item x="641"/>
        <item x="354"/>
        <item x="636"/>
        <item x="730"/>
        <item x="882"/>
        <item x="631"/>
        <item x="313"/>
        <item x="958"/>
        <item x="347"/>
        <item x="92"/>
        <item x="214"/>
        <item x="431"/>
        <item x="477"/>
        <item x="554"/>
        <item x="170"/>
        <item x="550"/>
        <item x="427"/>
        <item x="236"/>
        <item x="143"/>
        <item x="362"/>
        <item x="408"/>
        <item x="468"/>
        <item x="820"/>
        <item x="532"/>
        <item x="929"/>
        <item x="901"/>
        <item x="158"/>
        <item x="883"/>
        <item x="799"/>
        <item x="769"/>
        <item x="13"/>
        <item x="912"/>
        <item x="924"/>
        <item x="73"/>
        <item x="148"/>
        <item x="23"/>
        <item x="363"/>
        <item x="189"/>
        <item x="309"/>
        <item x="834"/>
        <item x="965"/>
        <item x="20"/>
        <item x="37"/>
        <item x="335"/>
        <item x="877"/>
        <item x="250"/>
        <item x="284"/>
        <item x="804"/>
        <item x="516"/>
        <item x="682"/>
        <item x="761"/>
        <item x="27"/>
        <item x="97"/>
        <item x="975"/>
        <item x="679"/>
        <item x="633"/>
        <item x="41"/>
        <item x="920"/>
        <item x="44"/>
        <item x="108"/>
        <item x="895"/>
        <item x="577"/>
        <item x="458"/>
        <item x="757"/>
        <item x="17"/>
        <item x="662"/>
        <item x="163"/>
        <item x="93"/>
        <item x="409"/>
        <item x="358"/>
        <item x="705"/>
        <item x="794"/>
        <item x="733"/>
        <item x="66"/>
        <item x="111"/>
        <item x="225"/>
        <item x="689"/>
        <item x="306"/>
        <item x="194"/>
        <item x="537"/>
        <item x="114"/>
        <item x="485"/>
        <item x="91"/>
        <item x="748"/>
        <item x="545"/>
        <item x="121"/>
        <item x="175"/>
        <item x="344"/>
        <item x="461"/>
        <item x="16"/>
        <item x="391"/>
        <item x="88"/>
        <item x="734"/>
        <item x="722"/>
        <item x="739"/>
        <item x="402"/>
        <item x="693"/>
        <item x="332"/>
        <item x="664"/>
        <item x="806"/>
        <item x="84"/>
        <item x="626"/>
        <item x="63"/>
        <item x="561"/>
        <item x="692"/>
        <item x="500"/>
        <item x="69"/>
        <item x="173"/>
        <item x="30"/>
        <item x="11"/>
        <item x="801"/>
        <item x="157"/>
        <item x="496"/>
        <item t="default"/>
      </items>
    </pivotField>
    <pivotField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Average of % Funded" fld="5" subtotal="average" baseField="16" baseItem="0" numFmtId="9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B6971-7CD3-4CDF-AF1C-9DE28A460718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15:G26" firstHeaderRow="1" firstDataRow="2" firstDataCol="1"/>
  <pivotFields count="18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showDataAs="percentOfRow" baseField="16" baseItem="3" numFmtId="1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526E45-464E-4061-9BD3-1EB6C4C47B1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2:G13" firstHeaderRow="1" firstDataRow="2" firstDataCol="1"/>
  <pivotFields count="18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16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9D34F-29A6-4563-AC34-DEB7628E82DE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V6:AA32" firstHeaderRow="1" firstDataRow="2" firstDataCol="1" rowPageCount="2" colPageCount="1"/>
  <pivotFields count="17"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8" hier="-1"/>
    <pageField fld="15" hier="-1"/>
  </pageFields>
  <dataFields count="1">
    <dataField name="Count of outcome" fld="5" subtotal="count" showDataAs="percentOfRow" baseField="16" baseItem="1" numFmtId="10"/>
  </dataField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A2A81A-7E1C-4556-A0F4-77348855A62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6:G32" firstHeaderRow="1" firstDataRow="2" firstDataCol="1" rowPageCount="2" colPageCount="1"/>
  <pivotFields count="17"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8" hier="-1"/>
    <pageField fld="15" hier="-1"/>
  </pageFields>
  <dataFields count="1">
    <dataField name="Count of outcome" fld="5" subtotal="count" baseField="16" baseItem="2"/>
  </dataField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162202-1DAD-428C-8844-E3E38378852E}" name="PivotTable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23:G37" firstHeaderRow="1" firstDataRow="2" firstDataCol="1" rowPageCount="2" colPageCount="1"/>
  <pivotFields count="20"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9" hier="-1"/>
  </pageFields>
  <dataFields count="1">
    <dataField name="Count of outcome" fld="4" subtotal="count" showDataAs="percentOfRow" baseField="11" baseItem="2" numFmtId="1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605EA-7C61-43AF-8596-2DEE593122F1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4:G18" firstHeaderRow="1" firstDataRow="2" firstDataCol="1" rowPageCount="2" colPageCount="1"/>
  <pivotFields count="20"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9" hier="-1"/>
  </pageFields>
  <dataFields count="1">
    <dataField name="Count of outcome" fld="4" subtotal="count" baseField="0" baseItem="0"/>
  </dataFields>
  <chartFormats count="5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23"/>
  <sheetViews>
    <sheetView tabSelected="1" topLeftCell="B1" workbookViewId="0">
      <pane ySplit="1" topLeftCell="A960" activePane="bottomLeft" state="frozen"/>
      <selection pane="bottomLeft" activeCell="C977" sqref="C977"/>
    </sheetView>
  </sheetViews>
  <sheetFormatPr defaultColWidth="11.25" defaultRowHeight="15.75" x14ac:dyDescent="0.25"/>
  <cols>
    <col min="1" max="1" width="4.25" bestFit="1" customWidth="1"/>
    <col min="2" max="2" width="30.75" bestFit="1" customWidth="1"/>
    <col min="3" max="3" width="33.5" style="3" customWidth="1"/>
    <col min="6" max="6" width="11.25" style="5"/>
    <col min="8" max="8" width="12.25" bestFit="1" customWidth="1"/>
    <col min="9" max="9" width="18.75" style="7" bestFit="1" customWidth="1"/>
    <col min="10" max="18" width="11.875" bestFit="1" customWidth="1"/>
    <col min="19" max="19" width="12.5" bestFit="1" customWidth="1"/>
    <col min="20" max="20" width="10.875" bestFit="1" customWidth="1"/>
    <col min="21" max="21" width="17.5" bestFit="1" customWidth="1"/>
    <col min="22" max="22" width="11.875" bestFit="1" customWidth="1"/>
    <col min="23" max="23" width="15.25" bestFit="1" customWidth="1"/>
    <col min="24" max="24" width="11.875" bestFit="1" customWidth="1"/>
    <col min="25" max="25" width="12.75" bestFit="1" customWidth="1"/>
    <col min="26" max="82" width="11.875" bestFit="1" customWidth="1"/>
    <col min="83" max="83" width="10.875" bestFit="1" customWidth="1"/>
    <col min="84" max="144" width="11.875" bestFit="1" customWidth="1"/>
    <col min="145" max="145" width="3.875" bestFit="1" customWidth="1"/>
    <col min="146" max="295" width="11.875" bestFit="1" customWidth="1"/>
    <col min="296" max="296" width="10.875" bestFit="1" customWidth="1"/>
    <col min="297" max="298" width="11.875" bestFit="1" customWidth="1"/>
    <col min="299" max="299" width="10.875" bestFit="1" customWidth="1"/>
    <col min="300" max="370" width="11.875" bestFit="1" customWidth="1"/>
    <col min="371" max="371" width="10.875" bestFit="1" customWidth="1"/>
    <col min="372" max="441" width="11.875" bestFit="1" customWidth="1"/>
    <col min="442" max="442" width="7.875" bestFit="1" customWidth="1"/>
    <col min="443" max="492" width="11.875" bestFit="1" customWidth="1"/>
    <col min="493" max="493" width="10.875" bestFit="1" customWidth="1"/>
    <col min="494" max="541" width="11.875" bestFit="1" customWidth="1"/>
    <col min="542" max="542" width="10.875" bestFit="1" customWidth="1"/>
    <col min="543" max="551" width="11.875" bestFit="1" customWidth="1"/>
    <col min="552" max="552" width="5.875" bestFit="1" customWidth="1"/>
    <col min="553" max="558" width="11.875" bestFit="1" customWidth="1"/>
    <col min="559" max="559" width="5.875" bestFit="1" customWidth="1"/>
    <col min="560" max="607" width="11.875" bestFit="1" customWidth="1"/>
    <col min="608" max="608" width="6.875" bestFit="1" customWidth="1"/>
    <col min="609" max="634" width="11.875" bestFit="1" customWidth="1"/>
    <col min="635" max="635" width="5.875" bestFit="1" customWidth="1"/>
    <col min="636" max="656" width="11.875" bestFit="1" customWidth="1"/>
    <col min="657" max="657" width="7.875" bestFit="1" customWidth="1"/>
    <col min="658" max="725" width="11.875" bestFit="1" customWidth="1"/>
    <col min="726" max="726" width="10.875" bestFit="1" customWidth="1"/>
    <col min="727" max="744" width="11.875" bestFit="1" customWidth="1"/>
    <col min="745" max="745" width="7.875" bestFit="1" customWidth="1"/>
    <col min="746" max="769" width="11.875" bestFit="1" customWidth="1"/>
    <col min="770" max="770" width="8.875" bestFit="1" customWidth="1"/>
    <col min="771" max="790" width="11.875" bestFit="1" customWidth="1"/>
    <col min="791" max="791" width="10.875" bestFit="1" customWidth="1"/>
    <col min="792" max="810" width="11.875" bestFit="1" customWidth="1"/>
    <col min="811" max="811" width="7.875" bestFit="1" customWidth="1"/>
    <col min="812" max="826" width="11.875" bestFit="1" customWidth="1"/>
    <col min="827" max="827" width="5.875" bestFit="1" customWidth="1"/>
    <col min="828" max="849" width="11.875" bestFit="1" customWidth="1"/>
    <col min="850" max="850" width="6.875" bestFit="1" customWidth="1"/>
    <col min="851" max="880" width="11.875" bestFit="1" customWidth="1"/>
    <col min="881" max="881" width="5.875" bestFit="1" customWidth="1"/>
    <col min="882" max="919" width="11.875" bestFit="1" customWidth="1"/>
    <col min="920" max="920" width="8.875" bestFit="1" customWidth="1"/>
    <col min="921" max="928" width="11.875" bestFit="1" customWidth="1"/>
    <col min="929" max="929" width="8.875" bestFit="1" customWidth="1"/>
    <col min="930" max="931" width="11.875" bestFit="1" customWidth="1"/>
    <col min="932" max="932" width="6.875" bestFit="1" customWidth="1"/>
    <col min="933" max="959" width="11.875" bestFit="1" customWidth="1"/>
    <col min="960" max="960" width="10.875" bestFit="1" customWidth="1"/>
    <col min="961" max="967" width="11.875" bestFit="1" customWidth="1"/>
    <col min="968" max="968" width="7.875" bestFit="1" customWidth="1"/>
    <col min="969" max="992" width="11.875" bestFit="1" customWidth="1"/>
    <col min="993" max="993" width="7.5" bestFit="1" customWidth="1"/>
    <col min="994" max="994" width="11.875" bestFit="1" customWidth="1"/>
    <col min="995" max="995" width="10.875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5</v>
      </c>
      <c r="I1" s="6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E2/D2</f>
        <v>0</v>
      </c>
      <c r="G2" t="s">
        <v>14</v>
      </c>
      <c r="H2">
        <v>0</v>
      </c>
      <c r="I2" s="7">
        <v>0</v>
      </c>
      <c r="J2" t="s">
        <v>15</v>
      </c>
      <c r="K2" t="s">
        <v>16</v>
      </c>
      <c r="L2">
        <v>1448690400</v>
      </c>
      <c r="M2">
        <v>1450159200</v>
      </c>
      <c r="N2" s="10">
        <f>(((L2/60)/60)/24)+DATE(1970,1,1)</f>
        <v>42336.25</v>
      </c>
      <c r="O2" s="10">
        <f>(((M2/60)/60)/24)+DATE(1970,1,1)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 "/",)</f>
        <v>food</v>
      </c>
      <c r="T2" t="str">
        <v>food trucks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0">E3/D3</f>
        <v>10.4</v>
      </c>
      <c r="G3" t="s">
        <v>20</v>
      </c>
      <c r="H3">
        <v>158</v>
      </c>
      <c r="I3" s="7">
        <f t="shared" ref="I3:I66" si="1"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0">
        <f t="shared" ref="N3:N66" si="2">(((L3/60)/60)/24)+DATE(1970,1,1)</f>
        <v>41870.208333333336</v>
      </c>
      <c r="O3" s="10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 "/",)</f>
        <v>music</v>
      </c>
      <c r="T3" t="str">
        <v>rock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1.3147878228782288</v>
      </c>
      <c r="G4" t="s">
        <v>20</v>
      </c>
      <c r="H4">
        <v>1425</v>
      </c>
      <c r="I4" s="7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10">
        <f t="shared" si="2"/>
        <v>41595.25</v>
      </c>
      <c r="O4" s="10">
        <f t="shared" si="3"/>
        <v>41597.25</v>
      </c>
      <c r="P4" t="b">
        <v>0</v>
      </c>
      <c r="Q4" t="b">
        <v>0</v>
      </c>
      <c r="R4" t="s">
        <v>28</v>
      </c>
      <c r="S4" t="str" cm="1">
        <f t="array" ref="S4:T4">_xlfn.TEXTSPLIT(R4, "/",)</f>
        <v>technology</v>
      </c>
      <c r="T4" t="str">
        <v>web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0.58976190476190471</v>
      </c>
      <c r="G5" t="s">
        <v>14</v>
      </c>
      <c r="H5">
        <v>24</v>
      </c>
      <c r="I5" s="7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0">
        <f t="shared" si="2"/>
        <v>43688.208333333328</v>
      </c>
      <c r="O5" s="10">
        <f t="shared" si="3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 "/",)</f>
        <v>music</v>
      </c>
      <c r="T5" t="str">
        <v>rock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0.69276315789473686</v>
      </c>
      <c r="G6" t="s">
        <v>14</v>
      </c>
      <c r="H6">
        <v>53</v>
      </c>
      <c r="I6" s="7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0">
        <f t="shared" si="2"/>
        <v>43485.25</v>
      </c>
      <c r="O6" s="10">
        <f t="shared" si="3"/>
        <v>43489.25</v>
      </c>
      <c r="P6" t="b">
        <v>0</v>
      </c>
      <c r="Q6" t="b">
        <v>0</v>
      </c>
      <c r="R6" t="s">
        <v>33</v>
      </c>
      <c r="S6" t="str" cm="1">
        <f t="array" ref="S6:T6">_xlfn.TEXTSPLIT(R6, "/",)</f>
        <v>theater</v>
      </c>
      <c r="T6" t="str">
        <v>plays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1.7361842105263159</v>
      </c>
      <c r="G7" t="s">
        <v>20</v>
      </c>
      <c r="H7">
        <v>174</v>
      </c>
      <c r="I7" s="7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0">
        <f t="shared" si="2"/>
        <v>41149.208333333336</v>
      </c>
      <c r="O7" s="10">
        <f t="shared" si="3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 "/",)</f>
        <v>theater</v>
      </c>
      <c r="T7" t="str">
        <v>plays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0.20961538461538462</v>
      </c>
      <c r="G8" t="s">
        <v>14</v>
      </c>
      <c r="H8">
        <v>18</v>
      </c>
      <c r="I8" s="7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0">
        <f t="shared" si="2"/>
        <v>42991.208333333328</v>
      </c>
      <c r="O8" s="10">
        <f t="shared" si="3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 "/",)</f>
        <v>film &amp; video</v>
      </c>
      <c r="T8" t="str">
        <v>documentary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3.2757777777777779</v>
      </c>
      <c r="G9" t="s">
        <v>20</v>
      </c>
      <c r="H9">
        <v>227</v>
      </c>
      <c r="I9" s="7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0">
        <f t="shared" si="2"/>
        <v>42229.208333333328</v>
      </c>
      <c r="O9" s="10">
        <f t="shared" si="3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 "/",)</f>
        <v>theater</v>
      </c>
      <c r="T9" t="str">
        <v>plays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0.19932788374205268</v>
      </c>
      <c r="G10" t="s">
        <v>47</v>
      </c>
      <c r="H10">
        <v>708</v>
      </c>
      <c r="I10" s="7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0">
        <f t="shared" si="2"/>
        <v>40399.208333333336</v>
      </c>
      <c r="O10" s="10">
        <f t="shared" si="3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 "/",)</f>
        <v>theater</v>
      </c>
      <c r="T10" t="str">
        <v>plays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0.51741935483870971</v>
      </c>
      <c r="G11" t="s">
        <v>14</v>
      </c>
      <c r="H11">
        <v>44</v>
      </c>
      <c r="I11" s="7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0">
        <f t="shared" si="2"/>
        <v>41536.208333333336</v>
      </c>
      <c r="O11" s="10">
        <f t="shared" si="3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 "/",)</f>
        <v>music</v>
      </c>
      <c r="T11" t="str">
        <v>electric music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2.6611538461538462</v>
      </c>
      <c r="G12" t="s">
        <v>20</v>
      </c>
      <c r="H12">
        <v>220</v>
      </c>
      <c r="I12" s="7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10">
        <f t="shared" si="2"/>
        <v>40404.208333333336</v>
      </c>
      <c r="O12" s="10">
        <f t="shared" si="3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 "/",)</f>
        <v>film &amp; video</v>
      </c>
      <c r="T12" t="str">
        <v>drama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0.48095238095238096</v>
      </c>
      <c r="G13" t="s">
        <v>14</v>
      </c>
      <c r="H13">
        <v>27</v>
      </c>
      <c r="I13" s="7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0">
        <f t="shared" si="2"/>
        <v>40442.208333333336</v>
      </c>
      <c r="O13" s="10">
        <f t="shared" si="3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 "/",)</f>
        <v>theater</v>
      </c>
      <c r="T13" t="str">
        <v>plays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0.89349206349206345</v>
      </c>
      <c r="G14" t="s">
        <v>14</v>
      </c>
      <c r="H14">
        <v>55</v>
      </c>
      <c r="I14" s="7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0">
        <f t="shared" si="2"/>
        <v>43760.208333333328</v>
      </c>
      <c r="O14" s="10">
        <f t="shared" si="3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 "/",)</f>
        <v>film &amp; video</v>
      </c>
      <c r="T14" t="str">
        <v>drama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2.4511904761904764</v>
      </c>
      <c r="G15" t="s">
        <v>20</v>
      </c>
      <c r="H15">
        <v>98</v>
      </c>
      <c r="I15" s="7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0">
        <f t="shared" si="2"/>
        <v>42532.208333333328</v>
      </c>
      <c r="O15" s="10">
        <f t="shared" si="3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 "/",)</f>
        <v>music</v>
      </c>
      <c r="T15" t="str">
        <v>indie rock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0.66769503546099296</v>
      </c>
      <c r="G16" t="s">
        <v>14</v>
      </c>
      <c r="H16">
        <v>200</v>
      </c>
      <c r="I16" s="7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0">
        <f t="shared" si="2"/>
        <v>40974.25</v>
      </c>
      <c r="O16" s="10">
        <f t="shared" si="3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 "/",)</f>
        <v>music</v>
      </c>
      <c r="T16" t="str">
        <v>indie rock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0.47307881773399013</v>
      </c>
      <c r="G17" t="s">
        <v>14</v>
      </c>
      <c r="H17">
        <v>452</v>
      </c>
      <c r="I17" s="7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0">
        <f t="shared" si="2"/>
        <v>43809.25</v>
      </c>
      <c r="O17" s="10">
        <f t="shared" si="3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 "/",)</f>
        <v>technology</v>
      </c>
      <c r="T17" t="str">
        <v>wearables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6.4947058823529416</v>
      </c>
      <c r="G18" t="s">
        <v>20</v>
      </c>
      <c r="H18">
        <v>100</v>
      </c>
      <c r="I18" s="7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10">
        <f t="shared" si="2"/>
        <v>41661.25</v>
      </c>
      <c r="O18" s="10">
        <f t="shared" si="3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 "/",)</f>
        <v>publishing</v>
      </c>
      <c r="T18" t="str">
        <v>nonfiction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1.5939125295508274</v>
      </c>
      <c r="G19" t="s">
        <v>20</v>
      </c>
      <c r="H19">
        <v>1249</v>
      </c>
      <c r="I19" s="7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0">
        <f t="shared" si="2"/>
        <v>40555.25</v>
      </c>
      <c r="O19" s="10">
        <f t="shared" si="3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 "/",)</f>
        <v>film &amp; video</v>
      </c>
      <c r="T19" t="str">
        <v>animation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0.66912087912087914</v>
      </c>
      <c r="G20" t="s">
        <v>74</v>
      </c>
      <c r="H20">
        <v>135</v>
      </c>
      <c r="I20" s="7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0">
        <f t="shared" si="2"/>
        <v>43351.208333333328</v>
      </c>
      <c r="O20" s="10">
        <f t="shared" si="3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 "/",)</f>
        <v>theater</v>
      </c>
      <c r="T20" t="str">
        <v>plays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0.48529600000000001</v>
      </c>
      <c r="G21" t="s">
        <v>14</v>
      </c>
      <c r="H21">
        <v>674</v>
      </c>
      <c r="I21" s="7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0">
        <f t="shared" si="2"/>
        <v>43528.25</v>
      </c>
      <c r="O21" s="10">
        <f t="shared" si="3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 "/",)</f>
        <v>theater</v>
      </c>
      <c r="T21" t="str">
        <v>plays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1.1224279210925645</v>
      </c>
      <c r="G22" t="s">
        <v>20</v>
      </c>
      <c r="H22">
        <v>1396</v>
      </c>
      <c r="I22" s="7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0">
        <f t="shared" si="2"/>
        <v>41848.208333333336</v>
      </c>
      <c r="O22" s="10">
        <f t="shared" si="3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 "/",)</f>
        <v>film &amp; video</v>
      </c>
      <c r="T22" t="str">
        <v>drama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0.40992553191489361</v>
      </c>
      <c r="G23" t="s">
        <v>14</v>
      </c>
      <c r="H23">
        <v>558</v>
      </c>
      <c r="I23" s="7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0">
        <f t="shared" si="2"/>
        <v>40770.208333333336</v>
      </c>
      <c r="O23" s="10">
        <f t="shared" si="3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 "/",)</f>
        <v>theater</v>
      </c>
      <c r="T23" t="str">
        <v>plays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1.2807106598984772</v>
      </c>
      <c r="G24" t="s">
        <v>20</v>
      </c>
      <c r="H24">
        <v>890</v>
      </c>
      <c r="I24" s="7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0">
        <f t="shared" si="2"/>
        <v>43193.208333333328</v>
      </c>
      <c r="O24" s="10">
        <f t="shared" si="3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 "/",)</f>
        <v>theater</v>
      </c>
      <c r="T24" t="str">
        <v>plays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3.3204444444444445</v>
      </c>
      <c r="G25" t="s">
        <v>20</v>
      </c>
      <c r="H25">
        <v>142</v>
      </c>
      <c r="I25" s="7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0">
        <f t="shared" si="2"/>
        <v>43510.25</v>
      </c>
      <c r="O25" s="10">
        <f t="shared" si="3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 "/",)</f>
        <v>film &amp; video</v>
      </c>
      <c r="T25" t="str">
        <v>documentary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1.1283225108225108</v>
      </c>
      <c r="G26" t="s">
        <v>20</v>
      </c>
      <c r="H26">
        <v>2673</v>
      </c>
      <c r="I26" s="7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0">
        <f t="shared" si="2"/>
        <v>41811.208333333336</v>
      </c>
      <c r="O26" s="10">
        <f t="shared" si="3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 "/",)</f>
        <v>technology</v>
      </c>
      <c r="T26" t="str">
        <v>wearables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2.1643636363636363</v>
      </c>
      <c r="G27" t="s">
        <v>20</v>
      </c>
      <c r="H27">
        <v>163</v>
      </c>
      <c r="I27" s="7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0">
        <f t="shared" si="2"/>
        <v>40681.208333333336</v>
      </c>
      <c r="O27" s="10">
        <f t="shared" si="3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 "/",)</f>
        <v>games</v>
      </c>
      <c r="T27" t="str">
        <v>video games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0.4819906976744186</v>
      </c>
      <c r="G28" t="s">
        <v>74</v>
      </c>
      <c r="H28">
        <v>1480</v>
      </c>
      <c r="I28" s="7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0">
        <f t="shared" si="2"/>
        <v>43312.208333333328</v>
      </c>
      <c r="O28" s="10">
        <f t="shared" si="3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 "/",)</f>
        <v>theater</v>
      </c>
      <c r="T28" t="str">
        <v>plays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0.79949999999999999</v>
      </c>
      <c r="G29" t="s">
        <v>14</v>
      </c>
      <c r="H29">
        <v>15</v>
      </c>
      <c r="I29" s="7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10">
        <f t="shared" si="2"/>
        <v>42280.208333333328</v>
      </c>
      <c r="O29" s="10">
        <f t="shared" si="3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 "/",)</f>
        <v>music</v>
      </c>
      <c r="T29" t="str">
        <v>rock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1.0522553516819573</v>
      </c>
      <c r="G30" t="s">
        <v>20</v>
      </c>
      <c r="H30">
        <v>2220</v>
      </c>
      <c r="I30" s="7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0">
        <f t="shared" si="2"/>
        <v>40218.25</v>
      </c>
      <c r="O30" s="10">
        <f t="shared" si="3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 "/",)</f>
        <v>theater</v>
      </c>
      <c r="T30" t="str">
        <v>plays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3.2889978213507627</v>
      </c>
      <c r="G31" t="s">
        <v>20</v>
      </c>
      <c r="H31">
        <v>1606</v>
      </c>
      <c r="I31" s="7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0">
        <f t="shared" si="2"/>
        <v>43301.208333333328</v>
      </c>
      <c r="O31" s="10">
        <f t="shared" si="3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 "/",)</f>
        <v>film &amp; video</v>
      </c>
      <c r="T31" t="str">
        <v>shorts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1.606111111111111</v>
      </c>
      <c r="G32" t="s">
        <v>20</v>
      </c>
      <c r="H32">
        <v>129</v>
      </c>
      <c r="I32" s="7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0">
        <f t="shared" si="2"/>
        <v>43609.208333333328</v>
      </c>
      <c r="O32" s="10">
        <f t="shared" si="3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 "/",)</f>
        <v>film &amp; video</v>
      </c>
      <c r="T32" t="str">
        <v>animation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3.1</v>
      </c>
      <c r="G33" t="s">
        <v>20</v>
      </c>
      <c r="H33">
        <v>226</v>
      </c>
      <c r="I33" s="7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0">
        <f t="shared" si="2"/>
        <v>42374.25</v>
      </c>
      <c r="O33" s="10">
        <f t="shared" si="3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 "/",)</f>
        <v>games</v>
      </c>
      <c r="T33" t="str">
        <v>video games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0.86807920792079207</v>
      </c>
      <c r="G34" t="s">
        <v>14</v>
      </c>
      <c r="H34">
        <v>2307</v>
      </c>
      <c r="I34" s="7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0">
        <f t="shared" si="2"/>
        <v>43110.25</v>
      </c>
      <c r="O34" s="10">
        <f t="shared" si="3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 "/",)</f>
        <v>film &amp; video</v>
      </c>
      <c r="T34" t="str">
        <v>documentary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3.7782071713147412</v>
      </c>
      <c r="G35" t="s">
        <v>20</v>
      </c>
      <c r="H35">
        <v>5419</v>
      </c>
      <c r="I35" s="7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0">
        <f t="shared" si="2"/>
        <v>41917.208333333336</v>
      </c>
      <c r="O35" s="10">
        <f t="shared" si="3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 "/",)</f>
        <v>theater</v>
      </c>
      <c r="T35" t="str">
        <v>plays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1.5080645161290323</v>
      </c>
      <c r="G36" t="s">
        <v>20</v>
      </c>
      <c r="H36">
        <v>165</v>
      </c>
      <c r="I36" s="7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10">
        <f t="shared" si="2"/>
        <v>42817.208333333328</v>
      </c>
      <c r="O36" s="10">
        <f t="shared" si="3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 "/",)</f>
        <v>film &amp; video</v>
      </c>
      <c r="T36" t="str">
        <v>documentary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1.5030119521912351</v>
      </c>
      <c r="G37" t="s">
        <v>20</v>
      </c>
      <c r="H37">
        <v>1965</v>
      </c>
      <c r="I37" s="7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0">
        <f t="shared" si="2"/>
        <v>43484.25</v>
      </c>
      <c r="O37" s="10">
        <f t="shared" si="3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 "/",)</f>
        <v>film &amp; video</v>
      </c>
      <c r="T37" t="str">
        <v>drama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1.572857142857143</v>
      </c>
      <c r="G38" t="s">
        <v>20</v>
      </c>
      <c r="H38">
        <v>16</v>
      </c>
      <c r="I38" s="7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10">
        <f t="shared" si="2"/>
        <v>40600.25</v>
      </c>
      <c r="O38" s="10">
        <f t="shared" si="3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 "/",)</f>
        <v>theater</v>
      </c>
      <c r="T38" t="str">
        <v>plays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1.3998765432098765</v>
      </c>
      <c r="G39" t="s">
        <v>20</v>
      </c>
      <c r="H39">
        <v>107</v>
      </c>
      <c r="I39" s="7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0">
        <f t="shared" si="2"/>
        <v>43744.208333333328</v>
      </c>
      <c r="O39" s="10">
        <f t="shared" si="3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 "/",)</f>
        <v>publishing</v>
      </c>
      <c r="T39" t="str">
        <v>fiction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3.2532258064516131</v>
      </c>
      <c r="G40" t="s">
        <v>20</v>
      </c>
      <c r="H40">
        <v>134</v>
      </c>
      <c r="I40" s="7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0">
        <f t="shared" si="2"/>
        <v>40469.208333333336</v>
      </c>
      <c r="O40" s="10">
        <f t="shared" si="3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 "/",)</f>
        <v>photography</v>
      </c>
      <c r="T40" t="str">
        <v>photography books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0.50777777777777777</v>
      </c>
      <c r="G41" t="s">
        <v>14</v>
      </c>
      <c r="H41">
        <v>88</v>
      </c>
      <c r="I41" s="7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10">
        <f t="shared" si="2"/>
        <v>41330.25</v>
      </c>
      <c r="O41" s="10">
        <f t="shared" si="3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 "/",)</f>
        <v>theater</v>
      </c>
      <c r="T41" t="str">
        <v>plays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1.6906818181818182</v>
      </c>
      <c r="G42" t="s">
        <v>20</v>
      </c>
      <c r="H42">
        <v>198</v>
      </c>
      <c r="I42" s="7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0">
        <f t="shared" si="2"/>
        <v>40334.208333333336</v>
      </c>
      <c r="O42" s="10">
        <f t="shared" si="3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 "/",)</f>
        <v>technology</v>
      </c>
      <c r="T42" t="str">
        <v>wearables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2.1292857142857144</v>
      </c>
      <c r="G43" t="s">
        <v>20</v>
      </c>
      <c r="H43">
        <v>111</v>
      </c>
      <c r="I43" s="7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0">
        <f t="shared" si="2"/>
        <v>41156.208333333336</v>
      </c>
      <c r="O43" s="10">
        <f t="shared" si="3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 "/",)</f>
        <v>music</v>
      </c>
      <c r="T43" t="str">
        <v>rock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4.4394444444444447</v>
      </c>
      <c r="G44" t="s">
        <v>20</v>
      </c>
      <c r="H44">
        <v>222</v>
      </c>
      <c r="I44" s="7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0">
        <f t="shared" si="2"/>
        <v>40728.208333333336</v>
      </c>
      <c r="O44" s="10">
        <f t="shared" si="3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 "/",)</f>
        <v>food</v>
      </c>
      <c r="T44" t="str">
        <v>food trucks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1.859390243902439</v>
      </c>
      <c r="G45" t="s">
        <v>20</v>
      </c>
      <c r="H45">
        <v>6212</v>
      </c>
      <c r="I45" s="7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0">
        <f t="shared" si="2"/>
        <v>41844.208333333336</v>
      </c>
      <c r="O45" s="10">
        <f t="shared" si="3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 "/",)</f>
        <v>publishing</v>
      </c>
      <c r="T45" t="str">
        <v>radio &amp; podcasts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6.5881249999999998</v>
      </c>
      <c r="G46" t="s">
        <v>20</v>
      </c>
      <c r="H46">
        <v>98</v>
      </c>
      <c r="I46" s="7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0">
        <f t="shared" si="2"/>
        <v>43541.208333333328</v>
      </c>
      <c r="O46" s="10">
        <f t="shared" si="3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 "/",)</f>
        <v>publishing</v>
      </c>
      <c r="T46" t="str">
        <v>fiction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0.4768421052631579</v>
      </c>
      <c r="G47" t="s">
        <v>14</v>
      </c>
      <c r="H47">
        <v>48</v>
      </c>
      <c r="I47" s="7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10">
        <f t="shared" si="2"/>
        <v>42676.208333333328</v>
      </c>
      <c r="O47" s="10">
        <f t="shared" si="3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 "/",)</f>
        <v>theater</v>
      </c>
      <c r="T47" t="str">
        <v>plays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1.1478378378378378</v>
      </c>
      <c r="G48" t="s">
        <v>20</v>
      </c>
      <c r="H48">
        <v>92</v>
      </c>
      <c r="I48" s="7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0">
        <f t="shared" si="2"/>
        <v>40367.208333333336</v>
      </c>
      <c r="O48" s="10">
        <f t="shared" si="3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 "/",)</f>
        <v>music</v>
      </c>
      <c r="T48" t="str">
        <v>rock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4.7526666666666664</v>
      </c>
      <c r="G49" t="s">
        <v>20</v>
      </c>
      <c r="H49">
        <v>149</v>
      </c>
      <c r="I49" s="7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0">
        <f t="shared" si="2"/>
        <v>41727.208333333336</v>
      </c>
      <c r="O49" s="10">
        <f t="shared" si="3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 "/",)</f>
        <v>theater</v>
      </c>
      <c r="T49" t="str">
        <v>plays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3.86972972972973</v>
      </c>
      <c r="G50" t="s">
        <v>20</v>
      </c>
      <c r="H50">
        <v>2431</v>
      </c>
      <c r="I50" s="7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0">
        <f t="shared" si="2"/>
        <v>42180.208333333328</v>
      </c>
      <c r="O50" s="10">
        <f t="shared" si="3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 "/",)</f>
        <v>theater</v>
      </c>
      <c r="T50" t="str">
        <v>plays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1.89625</v>
      </c>
      <c r="G51" t="s">
        <v>20</v>
      </c>
      <c r="H51">
        <v>303</v>
      </c>
      <c r="I51" s="7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0">
        <f t="shared" si="2"/>
        <v>43758.208333333328</v>
      </c>
      <c r="O51" s="10">
        <f t="shared" si="3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 "/",)</f>
        <v>music</v>
      </c>
      <c r="T51" t="str">
        <v>rock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0.02</v>
      </c>
      <c r="G52" t="s">
        <v>14</v>
      </c>
      <c r="H52">
        <v>1</v>
      </c>
      <c r="I52" s="7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10">
        <f t="shared" si="2"/>
        <v>41487.208333333336</v>
      </c>
      <c r="O52" s="10">
        <f t="shared" si="3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 "/",)</f>
        <v>music</v>
      </c>
      <c r="T52" t="str">
        <v>metal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0.91867805186590767</v>
      </c>
      <c r="G53" t="s">
        <v>14</v>
      </c>
      <c r="H53">
        <v>1467</v>
      </c>
      <c r="I53" s="7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0">
        <f t="shared" si="2"/>
        <v>40995.208333333336</v>
      </c>
      <c r="O53" s="10">
        <f t="shared" si="3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 "/",)</f>
        <v>technology</v>
      </c>
      <c r="T53" t="str">
        <v>wearables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0.34152777777777776</v>
      </c>
      <c r="G54" t="s">
        <v>14</v>
      </c>
      <c r="H54">
        <v>75</v>
      </c>
      <c r="I54" s="7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0">
        <f t="shared" si="2"/>
        <v>40436.208333333336</v>
      </c>
      <c r="O54" s="10">
        <f t="shared" si="3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 "/",)</f>
        <v>theater</v>
      </c>
      <c r="T54" t="str">
        <v>plays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1.4040909090909091</v>
      </c>
      <c r="G55" t="s">
        <v>20</v>
      </c>
      <c r="H55">
        <v>209</v>
      </c>
      <c r="I55" s="7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0">
        <f t="shared" si="2"/>
        <v>41779.208333333336</v>
      </c>
      <c r="O55" s="10">
        <f t="shared" si="3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 "/",)</f>
        <v>film &amp; video</v>
      </c>
      <c r="T55" t="str">
        <v>drama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0.89866666666666661</v>
      </c>
      <c r="G56" t="s">
        <v>14</v>
      </c>
      <c r="H56">
        <v>120</v>
      </c>
      <c r="I56" s="7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0">
        <f t="shared" si="2"/>
        <v>43170.25</v>
      </c>
      <c r="O56" s="10">
        <f t="shared" si="3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 "/",)</f>
        <v>technology</v>
      </c>
      <c r="T56" t="str">
        <v>wearables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1.7796969696969698</v>
      </c>
      <c r="G57" t="s">
        <v>20</v>
      </c>
      <c r="H57">
        <v>131</v>
      </c>
      <c r="I57" s="7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0">
        <f t="shared" si="2"/>
        <v>43311.208333333328</v>
      </c>
      <c r="O57" s="10">
        <f t="shared" si="3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 "/",)</f>
        <v>music</v>
      </c>
      <c r="T57" t="str">
        <v>jazz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1.436625</v>
      </c>
      <c r="G58" t="s">
        <v>20</v>
      </c>
      <c r="H58">
        <v>164</v>
      </c>
      <c r="I58" s="7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0">
        <f t="shared" si="2"/>
        <v>42014.25</v>
      </c>
      <c r="O58" s="10">
        <f t="shared" si="3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 "/",)</f>
        <v>technology</v>
      </c>
      <c r="T58" t="str">
        <v>wearables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2.1527586206896552</v>
      </c>
      <c r="G59" t="s">
        <v>20</v>
      </c>
      <c r="H59">
        <v>201</v>
      </c>
      <c r="I59" s="7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0">
        <f t="shared" si="2"/>
        <v>42979.208333333328</v>
      </c>
      <c r="O59" s="10">
        <f t="shared" si="3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 "/",)</f>
        <v>games</v>
      </c>
      <c r="T59" t="str">
        <v>video games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2.2711111111111113</v>
      </c>
      <c r="G60" t="s">
        <v>20</v>
      </c>
      <c r="H60">
        <v>211</v>
      </c>
      <c r="I60" s="7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0">
        <f t="shared" si="2"/>
        <v>42268.208333333328</v>
      </c>
      <c r="O60" s="10">
        <f t="shared" si="3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 "/",)</f>
        <v>theater</v>
      </c>
      <c r="T60" t="str">
        <v>plays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2.7507142857142859</v>
      </c>
      <c r="G61" t="s">
        <v>20</v>
      </c>
      <c r="H61">
        <v>128</v>
      </c>
      <c r="I61" s="7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10">
        <f t="shared" si="2"/>
        <v>42898.208333333328</v>
      </c>
      <c r="O61" s="10">
        <f t="shared" si="3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 "/",)</f>
        <v>theater</v>
      </c>
      <c r="T61" t="str">
        <v>plays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1.4437048832271762</v>
      </c>
      <c r="G62" t="s">
        <v>20</v>
      </c>
      <c r="H62">
        <v>1600</v>
      </c>
      <c r="I62" s="7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0">
        <f t="shared" si="2"/>
        <v>41107.208333333336</v>
      </c>
      <c r="O62" s="10">
        <f t="shared" si="3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 "/",)</f>
        <v>theater</v>
      </c>
      <c r="T62" t="str">
        <v>plays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0.92745983935742971</v>
      </c>
      <c r="G63" t="s">
        <v>14</v>
      </c>
      <c r="H63">
        <v>2253</v>
      </c>
      <c r="I63" s="7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0">
        <f t="shared" si="2"/>
        <v>40595.25</v>
      </c>
      <c r="O63" s="10">
        <f t="shared" si="3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 "/",)</f>
        <v>theater</v>
      </c>
      <c r="T63" t="str">
        <v>plays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7.226</v>
      </c>
      <c r="G64" t="s">
        <v>20</v>
      </c>
      <c r="H64">
        <v>249</v>
      </c>
      <c r="I64" s="7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0">
        <f t="shared" si="2"/>
        <v>42160.208333333328</v>
      </c>
      <c r="O64" s="10">
        <f t="shared" si="3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 "/",)</f>
        <v>technology</v>
      </c>
      <c r="T64" t="str">
        <v>web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0.11851063829787234</v>
      </c>
      <c r="G65" t="s">
        <v>14</v>
      </c>
      <c r="H65">
        <v>5</v>
      </c>
      <c r="I65" s="7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10">
        <f t="shared" si="2"/>
        <v>42853.208333333328</v>
      </c>
      <c r="O65" s="10">
        <f t="shared" si="3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 "/",)</f>
        <v>theater</v>
      </c>
      <c r="T65" t="str">
        <v>plays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0"/>
        <v>0.97642857142857142</v>
      </c>
      <c r="G66" t="s">
        <v>14</v>
      </c>
      <c r="H66">
        <v>38</v>
      </c>
      <c r="I66" s="7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0">
        <f t="shared" si="2"/>
        <v>43283.208333333328</v>
      </c>
      <c r="O66" s="10">
        <f t="shared" si="3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 "/",)</f>
        <v>technology</v>
      </c>
      <c r="T66" t="str">
        <v>web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4">E67/D67</f>
        <v>2.3614754098360655</v>
      </c>
      <c r="G67" t="s">
        <v>20</v>
      </c>
      <c r="H67">
        <v>236</v>
      </c>
      <c r="I67" s="7">
        <f t="shared" ref="I67:I130" si="5">E67/H67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0">
        <f t="shared" ref="N67:N130" si="6">(((L67/60)/60)/24)+DATE(1970,1,1)</f>
        <v>40570.25</v>
      </c>
      <c r="O67" s="10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 "/",)</f>
        <v>theater</v>
      </c>
      <c r="T67" t="str">
        <v>plays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0.45068965517241377</v>
      </c>
      <c r="G68" t="s">
        <v>14</v>
      </c>
      <c r="H68">
        <v>12</v>
      </c>
      <c r="I68" s="7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0">
        <f t="shared" si="6"/>
        <v>42102.208333333328</v>
      </c>
      <c r="O68" s="10">
        <f t="shared" si="7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 "/",)</f>
        <v>theater</v>
      </c>
      <c r="T68" t="str">
        <v>plays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1.6238567493112948</v>
      </c>
      <c r="G69" t="s">
        <v>20</v>
      </c>
      <c r="H69">
        <v>4065</v>
      </c>
      <c r="I69" s="7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0">
        <f t="shared" si="6"/>
        <v>40203.25</v>
      </c>
      <c r="O69" s="10">
        <f t="shared" si="7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 "/",)</f>
        <v>technology</v>
      </c>
      <c r="T69" t="str">
        <v>wearables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2.5452631578947367</v>
      </c>
      <c r="G70" t="s">
        <v>20</v>
      </c>
      <c r="H70">
        <v>246</v>
      </c>
      <c r="I70" s="7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0">
        <f t="shared" si="6"/>
        <v>42943.208333333328</v>
      </c>
      <c r="O70" s="10">
        <f t="shared" si="7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 "/",)</f>
        <v>theater</v>
      </c>
      <c r="T70" t="str">
        <v>plays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0.24063291139240506</v>
      </c>
      <c r="G71" t="s">
        <v>74</v>
      </c>
      <c r="H71">
        <v>17</v>
      </c>
      <c r="I71" s="7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0">
        <f t="shared" si="6"/>
        <v>40531.25</v>
      </c>
      <c r="O71" s="10">
        <f t="shared" si="7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 "/",)</f>
        <v>theater</v>
      </c>
      <c r="T71" t="str">
        <v>plays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1.2374140625000001</v>
      </c>
      <c r="G72" t="s">
        <v>20</v>
      </c>
      <c r="H72">
        <v>2475</v>
      </c>
      <c r="I72" s="7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0">
        <f t="shared" si="6"/>
        <v>40484.208333333336</v>
      </c>
      <c r="O72" s="10">
        <f t="shared" si="7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 "/",)</f>
        <v>theater</v>
      </c>
      <c r="T72" t="str">
        <v>plays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1.0806666666666667</v>
      </c>
      <c r="G73" t="s">
        <v>20</v>
      </c>
      <c r="H73">
        <v>76</v>
      </c>
      <c r="I73" s="7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0">
        <f t="shared" si="6"/>
        <v>43799.25</v>
      </c>
      <c r="O73" s="10">
        <f t="shared" si="7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 "/",)</f>
        <v>theater</v>
      </c>
      <c r="T73" t="str">
        <v>plays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6.7033333333333331</v>
      </c>
      <c r="G74" t="s">
        <v>20</v>
      </c>
      <c r="H74">
        <v>54</v>
      </c>
      <c r="I74" s="7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0">
        <f t="shared" si="6"/>
        <v>42186.208333333328</v>
      </c>
      <c r="O74" s="10">
        <f t="shared" si="7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 "/",)</f>
        <v>film &amp; video</v>
      </c>
      <c r="T74" t="str">
        <v>animation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6.609285714285714</v>
      </c>
      <c r="G75" t="s">
        <v>20</v>
      </c>
      <c r="H75">
        <v>88</v>
      </c>
      <c r="I75" s="7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0">
        <f t="shared" si="6"/>
        <v>42701.25</v>
      </c>
      <c r="O75" s="10">
        <f t="shared" si="7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 "/",)</f>
        <v>music</v>
      </c>
      <c r="T75" t="str">
        <v>jazz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1.2246153846153847</v>
      </c>
      <c r="G76" t="s">
        <v>20</v>
      </c>
      <c r="H76">
        <v>85</v>
      </c>
      <c r="I76" s="7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0">
        <f t="shared" si="6"/>
        <v>42456.208333333328</v>
      </c>
      <c r="O76" s="10">
        <f t="shared" si="7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 "/",)</f>
        <v>music</v>
      </c>
      <c r="T76" t="str">
        <v>metal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1.5057731958762886</v>
      </c>
      <c r="G77" t="s">
        <v>20</v>
      </c>
      <c r="H77">
        <v>170</v>
      </c>
      <c r="I77" s="7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0">
        <f t="shared" si="6"/>
        <v>43296.208333333328</v>
      </c>
      <c r="O77" s="10">
        <f t="shared" si="7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 "/",)</f>
        <v>photography</v>
      </c>
      <c r="T77" t="str">
        <v>photography books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0.78106590724165992</v>
      </c>
      <c r="G78" t="s">
        <v>14</v>
      </c>
      <c r="H78">
        <v>1684</v>
      </c>
      <c r="I78" s="7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0">
        <f t="shared" si="6"/>
        <v>42027.25</v>
      </c>
      <c r="O78" s="10">
        <f t="shared" si="7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 "/",)</f>
        <v>theater</v>
      </c>
      <c r="T78" t="str">
        <v>plays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0.46947368421052632</v>
      </c>
      <c r="G79" t="s">
        <v>14</v>
      </c>
      <c r="H79">
        <v>56</v>
      </c>
      <c r="I79" s="7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0">
        <f t="shared" si="6"/>
        <v>40448.208333333336</v>
      </c>
      <c r="O79" s="10">
        <f t="shared" si="7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 "/",)</f>
        <v>film &amp; video</v>
      </c>
      <c r="T79" t="str">
        <v>animation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3.008</v>
      </c>
      <c r="G80" t="s">
        <v>20</v>
      </c>
      <c r="H80">
        <v>330</v>
      </c>
      <c r="I80" s="7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0">
        <f t="shared" si="6"/>
        <v>43206.208333333328</v>
      </c>
      <c r="O80" s="10">
        <f t="shared" si="7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 "/",)</f>
        <v>publishing</v>
      </c>
      <c r="T80" t="str">
        <v>translations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0.6959861591695502</v>
      </c>
      <c r="G81" t="s">
        <v>14</v>
      </c>
      <c r="H81">
        <v>838</v>
      </c>
      <c r="I81" s="7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0">
        <f t="shared" si="6"/>
        <v>43267.208333333328</v>
      </c>
      <c r="O81" s="10">
        <f t="shared" si="7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 "/",)</f>
        <v>theater</v>
      </c>
      <c r="T81" t="str">
        <v>plays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6.374545454545455</v>
      </c>
      <c r="G82" t="s">
        <v>20</v>
      </c>
      <c r="H82">
        <v>127</v>
      </c>
      <c r="I82" s="7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0">
        <f t="shared" si="6"/>
        <v>42976.208333333328</v>
      </c>
      <c r="O82" s="10">
        <f t="shared" si="7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 "/",)</f>
        <v>games</v>
      </c>
      <c r="T82" t="str">
        <v>video games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2.253392857142857</v>
      </c>
      <c r="G83" t="s">
        <v>20</v>
      </c>
      <c r="H83">
        <v>411</v>
      </c>
      <c r="I83" s="7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0">
        <f t="shared" si="6"/>
        <v>43062.25</v>
      </c>
      <c r="O83" s="10">
        <f t="shared" si="7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 "/",)</f>
        <v>music</v>
      </c>
      <c r="T83" t="str">
        <v>rock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14.973000000000001</v>
      </c>
      <c r="G84" t="s">
        <v>20</v>
      </c>
      <c r="H84">
        <v>180</v>
      </c>
      <c r="I84" s="7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0">
        <f t="shared" si="6"/>
        <v>43482.25</v>
      </c>
      <c r="O84" s="10">
        <f t="shared" si="7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 "/",)</f>
        <v>games</v>
      </c>
      <c r="T84" t="str">
        <v>video games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0.37590225563909774</v>
      </c>
      <c r="G85" t="s">
        <v>14</v>
      </c>
      <c r="H85">
        <v>1000</v>
      </c>
      <c r="I85" s="7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0">
        <f t="shared" si="6"/>
        <v>42579.208333333328</v>
      </c>
      <c r="O85" s="10">
        <f t="shared" si="7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 "/",)</f>
        <v>music</v>
      </c>
      <c r="T85" t="str">
        <v>electric music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1.3236942675159236</v>
      </c>
      <c r="G86" t="s">
        <v>20</v>
      </c>
      <c r="H86">
        <v>374</v>
      </c>
      <c r="I86" s="7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0">
        <f t="shared" si="6"/>
        <v>41118.208333333336</v>
      </c>
      <c r="O86" s="10">
        <f t="shared" si="7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 "/",)</f>
        <v>technology</v>
      </c>
      <c r="T86" t="str">
        <v>wearables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1.3122448979591836</v>
      </c>
      <c r="G87" t="s">
        <v>20</v>
      </c>
      <c r="H87">
        <v>71</v>
      </c>
      <c r="I87" s="7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0">
        <f t="shared" si="6"/>
        <v>40797.208333333336</v>
      </c>
      <c r="O87" s="10">
        <f t="shared" si="7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 "/",)</f>
        <v>music</v>
      </c>
      <c r="T87" t="str">
        <v>indie rock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1.6763513513513513</v>
      </c>
      <c r="G88" t="s">
        <v>20</v>
      </c>
      <c r="H88">
        <v>203</v>
      </c>
      <c r="I88" s="7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0">
        <f t="shared" si="6"/>
        <v>42128.208333333328</v>
      </c>
      <c r="O88" s="10">
        <f t="shared" si="7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 "/",)</f>
        <v>theater</v>
      </c>
      <c r="T88" t="str">
        <v>plays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0.6198488664987406</v>
      </c>
      <c r="G89" t="s">
        <v>14</v>
      </c>
      <c r="H89">
        <v>1482</v>
      </c>
      <c r="I89" s="7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0">
        <f t="shared" si="6"/>
        <v>40610.25</v>
      </c>
      <c r="O89" s="10">
        <f t="shared" si="7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 "/",)</f>
        <v>music</v>
      </c>
      <c r="T89" t="str">
        <v>rock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2.6074999999999999</v>
      </c>
      <c r="G90" t="s">
        <v>20</v>
      </c>
      <c r="H90">
        <v>113</v>
      </c>
      <c r="I90" s="7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0">
        <f t="shared" si="6"/>
        <v>42110.208333333328</v>
      </c>
      <c r="O90" s="10">
        <f t="shared" si="7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 "/",)</f>
        <v>publishing</v>
      </c>
      <c r="T90" t="str">
        <v>translations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2.5258823529411765</v>
      </c>
      <c r="G91" t="s">
        <v>20</v>
      </c>
      <c r="H91">
        <v>96</v>
      </c>
      <c r="I91" s="7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0">
        <f t="shared" si="6"/>
        <v>40283.208333333336</v>
      </c>
      <c r="O91" s="10">
        <f t="shared" si="7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 "/",)</f>
        <v>theater</v>
      </c>
      <c r="T91" t="str">
        <v>plays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0.7861538461538462</v>
      </c>
      <c r="G92" t="s">
        <v>14</v>
      </c>
      <c r="H92">
        <v>106</v>
      </c>
      <c r="I92" s="7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0">
        <f t="shared" si="6"/>
        <v>42425.25</v>
      </c>
      <c r="O92" s="10">
        <f t="shared" si="7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 "/",)</f>
        <v>theater</v>
      </c>
      <c r="T92" t="str">
        <v>plays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0.48404406999351912</v>
      </c>
      <c r="G93" t="s">
        <v>14</v>
      </c>
      <c r="H93">
        <v>679</v>
      </c>
      <c r="I93" s="7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0">
        <f t="shared" si="6"/>
        <v>42588.208333333328</v>
      </c>
      <c r="O93" s="10">
        <f t="shared" si="7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 "/",)</f>
        <v>publishing</v>
      </c>
      <c r="T93" t="str">
        <v>translations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2.5887500000000001</v>
      </c>
      <c r="G94" t="s">
        <v>20</v>
      </c>
      <c r="H94">
        <v>498</v>
      </c>
      <c r="I94" s="7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0">
        <f t="shared" si="6"/>
        <v>40352.208333333336</v>
      </c>
      <c r="O94" s="10">
        <f t="shared" si="7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 "/",)</f>
        <v>games</v>
      </c>
      <c r="T94" t="str">
        <v>video games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0.60548713235294116</v>
      </c>
      <c r="G95" t="s">
        <v>74</v>
      </c>
      <c r="H95">
        <v>610</v>
      </c>
      <c r="I95" s="7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0">
        <f t="shared" si="6"/>
        <v>41202.208333333336</v>
      </c>
      <c r="O95" s="10">
        <f t="shared" si="7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 "/",)</f>
        <v>theater</v>
      </c>
      <c r="T95" t="str">
        <v>plays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3.036896551724138</v>
      </c>
      <c r="G96" t="s">
        <v>20</v>
      </c>
      <c r="H96">
        <v>180</v>
      </c>
      <c r="I96" s="7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0">
        <f t="shared" si="6"/>
        <v>43562.208333333328</v>
      </c>
      <c r="O96" s="10">
        <f t="shared" si="7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 "/",)</f>
        <v>technology</v>
      </c>
      <c r="T96" t="str">
        <v>web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1.1299999999999999</v>
      </c>
      <c r="G97" t="s">
        <v>20</v>
      </c>
      <c r="H97">
        <v>27</v>
      </c>
      <c r="I97" s="7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0">
        <f t="shared" si="6"/>
        <v>43752.208333333328</v>
      </c>
      <c r="O97" s="10">
        <f t="shared" si="7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 "/",)</f>
        <v>film &amp; video</v>
      </c>
      <c r="T97" t="str">
        <v>documentary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2.1737876614060259</v>
      </c>
      <c r="G98" t="s">
        <v>20</v>
      </c>
      <c r="H98">
        <v>2331</v>
      </c>
      <c r="I98" s="7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0">
        <f t="shared" si="6"/>
        <v>40612.25</v>
      </c>
      <c r="O98" s="10">
        <f t="shared" si="7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 "/",)</f>
        <v>theater</v>
      </c>
      <c r="T98" t="str">
        <v>plays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9.2669230769230762</v>
      </c>
      <c r="G99" t="s">
        <v>20</v>
      </c>
      <c r="H99">
        <v>113</v>
      </c>
      <c r="I99" s="7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0">
        <f t="shared" si="6"/>
        <v>42180.208333333328</v>
      </c>
      <c r="O99" s="10">
        <f t="shared" si="7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 "/",)</f>
        <v>food</v>
      </c>
      <c r="T99" t="str">
        <v>food trucks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0.33692229038854804</v>
      </c>
      <c r="G100" t="s">
        <v>14</v>
      </c>
      <c r="H100">
        <v>1220</v>
      </c>
      <c r="I100" s="7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0">
        <f t="shared" si="6"/>
        <v>42212.208333333328</v>
      </c>
      <c r="O100" s="10">
        <f t="shared" si="7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 "/",)</f>
        <v>games</v>
      </c>
      <c r="T100" t="str">
        <v>video games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1.9672368421052631</v>
      </c>
      <c r="G101" t="s">
        <v>20</v>
      </c>
      <c r="H101">
        <v>164</v>
      </c>
      <c r="I101" s="7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0">
        <f t="shared" si="6"/>
        <v>41968.25</v>
      </c>
      <c r="O101" s="10">
        <f t="shared" si="7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 "/",)</f>
        <v>theater</v>
      </c>
      <c r="T101" t="str">
        <v>plays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0.01</v>
      </c>
      <c r="G102" t="s">
        <v>14</v>
      </c>
      <c r="H102">
        <v>1</v>
      </c>
      <c r="I102" s="7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10">
        <f t="shared" si="6"/>
        <v>40835.208333333336</v>
      </c>
      <c r="O102" s="10">
        <f t="shared" si="7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 "/",)</f>
        <v>theater</v>
      </c>
      <c r="T102" t="str">
        <v>plays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10.214444444444444</v>
      </c>
      <c r="G103" t="s">
        <v>20</v>
      </c>
      <c r="H103">
        <v>164</v>
      </c>
      <c r="I103" s="7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0">
        <f t="shared" si="6"/>
        <v>42056.25</v>
      </c>
      <c r="O103" s="10">
        <f t="shared" si="7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 "/",)</f>
        <v>music</v>
      </c>
      <c r="T103" t="str">
        <v>electric music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2.8167567567567566</v>
      </c>
      <c r="G104" t="s">
        <v>20</v>
      </c>
      <c r="H104">
        <v>336</v>
      </c>
      <c r="I104" s="7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0">
        <f t="shared" si="6"/>
        <v>43234.208333333328</v>
      </c>
      <c r="O104" s="10">
        <f t="shared" si="7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 "/",)</f>
        <v>technology</v>
      </c>
      <c r="T104" t="str">
        <v>wearables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0.24610000000000001</v>
      </c>
      <c r="G105" t="s">
        <v>14</v>
      </c>
      <c r="H105">
        <v>37</v>
      </c>
      <c r="I105" s="7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0">
        <f t="shared" si="6"/>
        <v>40475.208333333336</v>
      </c>
      <c r="O105" s="10">
        <f t="shared" si="7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 "/",)</f>
        <v>music</v>
      </c>
      <c r="T105" t="str">
        <v>electric music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1.4314010067114094</v>
      </c>
      <c r="G106" t="s">
        <v>20</v>
      </c>
      <c r="H106">
        <v>1917</v>
      </c>
      <c r="I106" s="7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0">
        <f t="shared" si="6"/>
        <v>42878.208333333328</v>
      </c>
      <c r="O106" s="10">
        <f t="shared" si="7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 "/",)</f>
        <v>music</v>
      </c>
      <c r="T106" t="str">
        <v>indie rock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1.4454411764705883</v>
      </c>
      <c r="G107" t="s">
        <v>20</v>
      </c>
      <c r="H107">
        <v>95</v>
      </c>
      <c r="I107" s="7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0">
        <f t="shared" si="6"/>
        <v>41366.208333333336</v>
      </c>
      <c r="O107" s="10">
        <f t="shared" si="7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 "/",)</f>
        <v>technology</v>
      </c>
      <c r="T107" t="str">
        <v>web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3.5912820512820511</v>
      </c>
      <c r="G108" t="s">
        <v>20</v>
      </c>
      <c r="H108">
        <v>147</v>
      </c>
      <c r="I108" s="7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0">
        <f t="shared" si="6"/>
        <v>43716.208333333328</v>
      </c>
      <c r="O108" s="10">
        <f t="shared" si="7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 "/",)</f>
        <v>theater</v>
      </c>
      <c r="T108" t="str">
        <v>plays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1.8648571428571428</v>
      </c>
      <c r="G109" t="s">
        <v>20</v>
      </c>
      <c r="H109">
        <v>86</v>
      </c>
      <c r="I109" s="7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0">
        <f t="shared" si="6"/>
        <v>43213.208333333328</v>
      </c>
      <c r="O109" s="10">
        <f t="shared" si="7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 "/",)</f>
        <v>theater</v>
      </c>
      <c r="T109" t="str">
        <v>plays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5.9526666666666666</v>
      </c>
      <c r="G110" t="s">
        <v>20</v>
      </c>
      <c r="H110">
        <v>83</v>
      </c>
      <c r="I110" s="7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0">
        <f t="shared" si="6"/>
        <v>41005.208333333336</v>
      </c>
      <c r="O110" s="10">
        <f t="shared" si="7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 "/",)</f>
        <v>film &amp; video</v>
      </c>
      <c r="T110" t="str">
        <v>documentary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0.5921153846153846</v>
      </c>
      <c r="G111" t="s">
        <v>14</v>
      </c>
      <c r="H111">
        <v>60</v>
      </c>
      <c r="I111" s="7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0">
        <f t="shared" si="6"/>
        <v>41651.25</v>
      </c>
      <c r="O111" s="10">
        <f t="shared" si="7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 "/",)</f>
        <v>film &amp; video</v>
      </c>
      <c r="T111" t="str">
        <v>television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0.14962780898876404</v>
      </c>
      <c r="G112" t="s">
        <v>14</v>
      </c>
      <c r="H112">
        <v>296</v>
      </c>
      <c r="I112" s="7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0">
        <f t="shared" si="6"/>
        <v>43354.208333333328</v>
      </c>
      <c r="O112" s="10">
        <f t="shared" si="7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 "/",)</f>
        <v>food</v>
      </c>
      <c r="T112" t="str">
        <v>food trucks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1.1995602605863191</v>
      </c>
      <c r="G113" t="s">
        <v>20</v>
      </c>
      <c r="H113">
        <v>676</v>
      </c>
      <c r="I113" s="7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0">
        <f t="shared" si="6"/>
        <v>41174.208333333336</v>
      </c>
      <c r="O113" s="10">
        <f t="shared" si="7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 "/",)</f>
        <v>publishing</v>
      </c>
      <c r="T113" t="str">
        <v>radio &amp; podcasts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2.6882978723404256</v>
      </c>
      <c r="G114" t="s">
        <v>20</v>
      </c>
      <c r="H114">
        <v>361</v>
      </c>
      <c r="I114" s="7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10">
        <f t="shared" si="6"/>
        <v>41875.208333333336</v>
      </c>
      <c r="O114" s="10">
        <f t="shared" si="7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 "/",)</f>
        <v>technology</v>
      </c>
      <c r="T114" t="str">
        <v>web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3.7687878787878786</v>
      </c>
      <c r="G115" t="s">
        <v>20</v>
      </c>
      <c r="H115">
        <v>131</v>
      </c>
      <c r="I115" s="7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0">
        <f t="shared" si="6"/>
        <v>42990.208333333328</v>
      </c>
      <c r="O115" s="10">
        <f t="shared" si="7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 "/",)</f>
        <v>food</v>
      </c>
      <c r="T115" t="str">
        <v>food trucks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7.2715789473684209</v>
      </c>
      <c r="G116" t="s">
        <v>20</v>
      </c>
      <c r="H116">
        <v>126</v>
      </c>
      <c r="I116" s="7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0">
        <f t="shared" si="6"/>
        <v>43564.208333333328</v>
      </c>
      <c r="O116" s="10">
        <f t="shared" si="7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 "/",)</f>
        <v>technology</v>
      </c>
      <c r="T116" t="str">
        <v>wearables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0.87211757648470301</v>
      </c>
      <c r="G117" t="s">
        <v>14</v>
      </c>
      <c r="H117">
        <v>3304</v>
      </c>
      <c r="I117" s="7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0">
        <f t="shared" si="6"/>
        <v>43056.25</v>
      </c>
      <c r="O117" s="10">
        <f t="shared" si="7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 "/",)</f>
        <v>publishing</v>
      </c>
      <c r="T117" t="str">
        <v>fiction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0.88</v>
      </c>
      <c r="G118" t="s">
        <v>14</v>
      </c>
      <c r="H118">
        <v>73</v>
      </c>
      <c r="I118" s="7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0">
        <f t="shared" si="6"/>
        <v>42265.208333333328</v>
      </c>
      <c r="O118" s="10">
        <f t="shared" si="7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 "/",)</f>
        <v>theater</v>
      </c>
      <c r="T118" t="str">
        <v>plays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1.7393877551020409</v>
      </c>
      <c r="G119" t="s">
        <v>20</v>
      </c>
      <c r="H119">
        <v>275</v>
      </c>
      <c r="I119" s="7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0">
        <f t="shared" si="6"/>
        <v>40808.208333333336</v>
      </c>
      <c r="O119" s="10">
        <f t="shared" si="7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 "/",)</f>
        <v>film &amp; video</v>
      </c>
      <c r="T119" t="str">
        <v>television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1.1761111111111111</v>
      </c>
      <c r="G120" t="s">
        <v>20</v>
      </c>
      <c r="H120">
        <v>67</v>
      </c>
      <c r="I120" s="7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0">
        <f t="shared" si="6"/>
        <v>41665.25</v>
      </c>
      <c r="O120" s="10">
        <f t="shared" si="7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 "/",)</f>
        <v>photography</v>
      </c>
      <c r="T120" t="str">
        <v>photography books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2.1496</v>
      </c>
      <c r="G121" t="s">
        <v>20</v>
      </c>
      <c r="H121">
        <v>154</v>
      </c>
      <c r="I121" s="7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0">
        <f t="shared" si="6"/>
        <v>41806.208333333336</v>
      </c>
      <c r="O121" s="10">
        <f t="shared" si="7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 "/",)</f>
        <v>film &amp; video</v>
      </c>
      <c r="T121" t="str">
        <v>documentary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1.4949667110519307</v>
      </c>
      <c r="G122" t="s">
        <v>20</v>
      </c>
      <c r="H122">
        <v>1782</v>
      </c>
      <c r="I122" s="7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0">
        <f t="shared" si="6"/>
        <v>42111.208333333328</v>
      </c>
      <c r="O122" s="10">
        <f t="shared" si="7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 "/",)</f>
        <v>games</v>
      </c>
      <c r="T122" t="str">
        <v>mobile games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2.1933995584988963</v>
      </c>
      <c r="G123" t="s">
        <v>20</v>
      </c>
      <c r="H123">
        <v>903</v>
      </c>
      <c r="I123" s="7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0">
        <f t="shared" si="6"/>
        <v>41917.208333333336</v>
      </c>
      <c r="O123" s="10">
        <f t="shared" si="7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 "/",)</f>
        <v>games</v>
      </c>
      <c r="T123" t="str">
        <v>video games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0.64367690058479532</v>
      </c>
      <c r="G124" t="s">
        <v>14</v>
      </c>
      <c r="H124">
        <v>3387</v>
      </c>
      <c r="I124" s="7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0">
        <f t="shared" si="6"/>
        <v>41970.25</v>
      </c>
      <c r="O124" s="10">
        <f t="shared" si="7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 "/",)</f>
        <v>publishing</v>
      </c>
      <c r="T124" t="str">
        <v>fiction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0.18622397298818233</v>
      </c>
      <c r="G125" t="s">
        <v>14</v>
      </c>
      <c r="H125">
        <v>662</v>
      </c>
      <c r="I125" s="7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0">
        <f t="shared" si="6"/>
        <v>42332.25</v>
      </c>
      <c r="O125" s="10">
        <f t="shared" si="7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 "/",)</f>
        <v>theater</v>
      </c>
      <c r="T125" t="str">
        <v>plays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3.6776923076923076</v>
      </c>
      <c r="G126" t="s">
        <v>20</v>
      </c>
      <c r="H126">
        <v>94</v>
      </c>
      <c r="I126" s="7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0">
        <f t="shared" si="6"/>
        <v>43598.208333333328</v>
      </c>
      <c r="O126" s="10">
        <f t="shared" si="7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 "/",)</f>
        <v>photography</v>
      </c>
      <c r="T126" t="str">
        <v>photography books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1.5990566037735849</v>
      </c>
      <c r="G127" t="s">
        <v>20</v>
      </c>
      <c r="H127">
        <v>180</v>
      </c>
      <c r="I127" s="7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0">
        <f t="shared" si="6"/>
        <v>43362.208333333328</v>
      </c>
      <c r="O127" s="10">
        <f t="shared" si="7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 "/",)</f>
        <v>theater</v>
      </c>
      <c r="T127" t="str">
        <v>plays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0.38633185349611543</v>
      </c>
      <c r="G128" t="s">
        <v>14</v>
      </c>
      <c r="H128">
        <v>774</v>
      </c>
      <c r="I128" s="7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0">
        <f t="shared" si="6"/>
        <v>42596.208333333328</v>
      </c>
      <c r="O128" s="10">
        <f t="shared" si="7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 "/",)</f>
        <v>theater</v>
      </c>
      <c r="T128" t="str">
        <v>plays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0.51421511627906979</v>
      </c>
      <c r="G129" t="s">
        <v>14</v>
      </c>
      <c r="H129">
        <v>672</v>
      </c>
      <c r="I129" s="7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0">
        <f t="shared" si="6"/>
        <v>40310.208333333336</v>
      </c>
      <c r="O129" s="10">
        <f t="shared" si="7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 "/",)</f>
        <v>theater</v>
      </c>
      <c r="T129" t="str">
        <v>plays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4"/>
        <v>0.60334277620396604</v>
      </c>
      <c r="G130" t="s">
        <v>74</v>
      </c>
      <c r="H130">
        <v>532</v>
      </c>
      <c r="I130" s="7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0">
        <f t="shared" si="6"/>
        <v>40417.208333333336</v>
      </c>
      <c r="O130" s="10">
        <f t="shared" si="7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 "/",)</f>
        <v>music</v>
      </c>
      <c r="T130" t="str">
        <v>rock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8">E131/D131</f>
        <v>3.2026936026936029E-2</v>
      </c>
      <c r="G131" t="s">
        <v>74</v>
      </c>
      <c r="H131">
        <v>55</v>
      </c>
      <c r="I131" s="7">
        <f t="shared" ref="I131:I194" si="9">E131/H131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0">
        <f t="shared" ref="N131:N194" si="10">(((L131/60)/60)/24)+DATE(1970,1,1)</f>
        <v>42038.25</v>
      </c>
      <c r="O131" s="10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 "/",)</f>
        <v>food</v>
      </c>
      <c r="T131" t="str">
        <v>food trucks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8"/>
        <v>1.5546875</v>
      </c>
      <c r="G132" t="s">
        <v>20</v>
      </c>
      <c r="H132">
        <v>533</v>
      </c>
      <c r="I132" s="7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0">
        <f t="shared" si="10"/>
        <v>40842.208333333336</v>
      </c>
      <c r="O132" s="10">
        <f t="shared" si="11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 "/",)</f>
        <v>film &amp; video</v>
      </c>
      <c r="T132" t="str">
        <v>drama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8"/>
        <v>1.0085974499089254</v>
      </c>
      <c r="G133" t="s">
        <v>20</v>
      </c>
      <c r="H133">
        <v>2443</v>
      </c>
      <c r="I133" s="7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0">
        <f t="shared" si="10"/>
        <v>41607.25</v>
      </c>
      <c r="O133" s="10">
        <f t="shared" si="11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 "/",)</f>
        <v>technology</v>
      </c>
      <c r="T133" t="str">
        <v>web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8"/>
        <v>1.1618181818181819</v>
      </c>
      <c r="G134" t="s">
        <v>20</v>
      </c>
      <c r="H134">
        <v>89</v>
      </c>
      <c r="I134" s="7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0">
        <f t="shared" si="10"/>
        <v>43112.25</v>
      </c>
      <c r="O134" s="10">
        <f t="shared" si="11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 "/",)</f>
        <v>theater</v>
      </c>
      <c r="T134" t="str">
        <v>plays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8"/>
        <v>3.1077777777777778</v>
      </c>
      <c r="G135" t="s">
        <v>20</v>
      </c>
      <c r="H135">
        <v>159</v>
      </c>
      <c r="I135" s="7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0">
        <f t="shared" si="10"/>
        <v>40767.208333333336</v>
      </c>
      <c r="O135" s="10">
        <f t="shared" si="11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 "/",)</f>
        <v>music</v>
      </c>
      <c r="T135" t="str">
        <v>world music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8"/>
        <v>0.89736683417085428</v>
      </c>
      <c r="G136" t="s">
        <v>14</v>
      </c>
      <c r="H136">
        <v>940</v>
      </c>
      <c r="I136" s="7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0">
        <f t="shared" si="10"/>
        <v>40713.208333333336</v>
      </c>
      <c r="O136" s="10">
        <f t="shared" si="11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 "/",)</f>
        <v>film &amp; video</v>
      </c>
      <c r="T136" t="str">
        <v>documentary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8"/>
        <v>0.71272727272727276</v>
      </c>
      <c r="G137" t="s">
        <v>14</v>
      </c>
      <c r="H137">
        <v>117</v>
      </c>
      <c r="I137" s="7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0">
        <f t="shared" si="10"/>
        <v>41340.25</v>
      </c>
      <c r="O137" s="10">
        <f t="shared" si="11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 "/",)</f>
        <v>theater</v>
      </c>
      <c r="T137" t="str">
        <v>plays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3.2862318840579711E-2</v>
      </c>
      <c r="G138" t="s">
        <v>74</v>
      </c>
      <c r="H138">
        <v>58</v>
      </c>
      <c r="I138" s="7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0">
        <f t="shared" si="10"/>
        <v>41797.208333333336</v>
      </c>
      <c r="O138" s="10">
        <f t="shared" si="11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 "/",)</f>
        <v>film &amp; video</v>
      </c>
      <c r="T138" t="str">
        <v>drama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8"/>
        <v>2.617777777777778</v>
      </c>
      <c r="G139" t="s">
        <v>20</v>
      </c>
      <c r="H139">
        <v>50</v>
      </c>
      <c r="I139" s="7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10">
        <f t="shared" si="10"/>
        <v>40457.208333333336</v>
      </c>
      <c r="O139" s="10">
        <f t="shared" si="11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 "/",)</f>
        <v>publishing</v>
      </c>
      <c r="T139" t="str">
        <v>nonfiction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8"/>
        <v>0.96</v>
      </c>
      <c r="G140" t="s">
        <v>14</v>
      </c>
      <c r="H140">
        <v>115</v>
      </c>
      <c r="I140" s="7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0">
        <f t="shared" si="10"/>
        <v>41180.208333333336</v>
      </c>
      <c r="O140" s="10">
        <f t="shared" si="11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 "/",)</f>
        <v>games</v>
      </c>
      <c r="T140" t="str">
        <v>mobile games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8"/>
        <v>0.20896851248642778</v>
      </c>
      <c r="G141" t="s">
        <v>14</v>
      </c>
      <c r="H141">
        <v>326</v>
      </c>
      <c r="I141" s="7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0">
        <f t="shared" si="10"/>
        <v>42115.208333333328</v>
      </c>
      <c r="O141" s="10">
        <f t="shared" si="11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 "/",)</f>
        <v>technology</v>
      </c>
      <c r="T141" t="str">
        <v>wearables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8"/>
        <v>2.2316363636363636</v>
      </c>
      <c r="G142" t="s">
        <v>20</v>
      </c>
      <c r="H142">
        <v>186</v>
      </c>
      <c r="I142" s="7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0">
        <f t="shared" si="10"/>
        <v>43156.25</v>
      </c>
      <c r="O142" s="10">
        <f t="shared" si="11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 "/",)</f>
        <v>film &amp; video</v>
      </c>
      <c r="T142" t="str">
        <v>documentary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8"/>
        <v>1.0159097978227061</v>
      </c>
      <c r="G143" t="s">
        <v>20</v>
      </c>
      <c r="H143">
        <v>1071</v>
      </c>
      <c r="I143" s="7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0">
        <f t="shared" si="10"/>
        <v>42167.208333333328</v>
      </c>
      <c r="O143" s="10">
        <f t="shared" si="11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 "/",)</f>
        <v>technology</v>
      </c>
      <c r="T143" t="str">
        <v>web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8"/>
        <v>2.3003999999999998</v>
      </c>
      <c r="G144" t="s">
        <v>20</v>
      </c>
      <c r="H144">
        <v>117</v>
      </c>
      <c r="I144" s="7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0">
        <f t="shared" si="10"/>
        <v>41005.208333333336</v>
      </c>
      <c r="O144" s="10">
        <f t="shared" si="11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 "/",)</f>
        <v>technology</v>
      </c>
      <c r="T144" t="str">
        <v>web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8"/>
        <v>1.355925925925926</v>
      </c>
      <c r="G145" t="s">
        <v>20</v>
      </c>
      <c r="H145">
        <v>70</v>
      </c>
      <c r="I145" s="7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10">
        <f t="shared" si="10"/>
        <v>40357.208333333336</v>
      </c>
      <c r="O145" s="10">
        <f t="shared" si="11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 "/",)</f>
        <v>music</v>
      </c>
      <c r="T145" t="str">
        <v>indie rock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8"/>
        <v>1.2909999999999999</v>
      </c>
      <c r="G146" t="s">
        <v>20</v>
      </c>
      <c r="H146">
        <v>135</v>
      </c>
      <c r="I146" s="7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0">
        <f t="shared" si="10"/>
        <v>43633.208333333328</v>
      </c>
      <c r="O146" s="10">
        <f t="shared" si="11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 "/",)</f>
        <v>theater</v>
      </c>
      <c r="T146" t="str">
        <v>plays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8"/>
        <v>2.3651200000000001</v>
      </c>
      <c r="G147" t="s">
        <v>20</v>
      </c>
      <c r="H147">
        <v>768</v>
      </c>
      <c r="I147" s="7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0">
        <f t="shared" si="10"/>
        <v>41889.208333333336</v>
      </c>
      <c r="O147" s="10">
        <f t="shared" si="11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 "/",)</f>
        <v>technology</v>
      </c>
      <c r="T147" t="str">
        <v>wearables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8"/>
        <v>0.17249999999999999</v>
      </c>
      <c r="G148" t="s">
        <v>74</v>
      </c>
      <c r="H148">
        <v>51</v>
      </c>
      <c r="I148" s="7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0">
        <f t="shared" si="10"/>
        <v>40855.25</v>
      </c>
      <c r="O148" s="10">
        <f t="shared" si="11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 "/",)</f>
        <v>theater</v>
      </c>
      <c r="T148" t="str">
        <v>plays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8"/>
        <v>1.1249397590361445</v>
      </c>
      <c r="G149" t="s">
        <v>20</v>
      </c>
      <c r="H149">
        <v>199</v>
      </c>
      <c r="I149" s="7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0">
        <f t="shared" si="10"/>
        <v>42534.208333333328</v>
      </c>
      <c r="O149" s="10">
        <f t="shared" si="11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 "/",)</f>
        <v>theater</v>
      </c>
      <c r="T149" t="str">
        <v>plays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8"/>
        <v>1.2102150537634409</v>
      </c>
      <c r="G150" t="s">
        <v>20</v>
      </c>
      <c r="H150">
        <v>107</v>
      </c>
      <c r="I150" s="7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0">
        <f t="shared" si="10"/>
        <v>42941.208333333328</v>
      </c>
      <c r="O150" s="10">
        <f t="shared" si="11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 "/",)</f>
        <v>technology</v>
      </c>
      <c r="T150" t="str">
        <v>wearables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8"/>
        <v>2.1987096774193549</v>
      </c>
      <c r="G151" t="s">
        <v>20</v>
      </c>
      <c r="H151">
        <v>195</v>
      </c>
      <c r="I151" s="7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0">
        <f t="shared" si="10"/>
        <v>41275.25</v>
      </c>
      <c r="O151" s="10">
        <f t="shared" si="11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 "/",)</f>
        <v>music</v>
      </c>
      <c r="T151" t="str">
        <v>indie rock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8"/>
        <v>0.01</v>
      </c>
      <c r="G152" t="s">
        <v>14</v>
      </c>
      <c r="H152">
        <v>1</v>
      </c>
      <c r="I152" s="7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10">
        <f t="shared" si="10"/>
        <v>43450.25</v>
      </c>
      <c r="O152" s="10">
        <f t="shared" si="11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 "/",)</f>
        <v>music</v>
      </c>
      <c r="T152" t="str">
        <v>rock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8"/>
        <v>0.64166909620991253</v>
      </c>
      <c r="G153" t="s">
        <v>14</v>
      </c>
      <c r="H153">
        <v>1467</v>
      </c>
      <c r="I153" s="7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0">
        <f t="shared" si="10"/>
        <v>41799.208333333336</v>
      </c>
      <c r="O153" s="10">
        <f t="shared" si="11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 "/",)</f>
        <v>music</v>
      </c>
      <c r="T153" t="str">
        <v>electric music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8"/>
        <v>4.2306746987951804</v>
      </c>
      <c r="G154" t="s">
        <v>20</v>
      </c>
      <c r="H154">
        <v>3376</v>
      </c>
      <c r="I154" s="7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0">
        <f t="shared" si="10"/>
        <v>42783.25</v>
      </c>
      <c r="O154" s="10">
        <f t="shared" si="11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 "/",)</f>
        <v>music</v>
      </c>
      <c r="T154" t="str">
        <v>indie rock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8"/>
        <v>0.92984160506863778</v>
      </c>
      <c r="G155" t="s">
        <v>14</v>
      </c>
      <c r="H155">
        <v>5681</v>
      </c>
      <c r="I155" s="7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0">
        <f t="shared" si="10"/>
        <v>41201.208333333336</v>
      </c>
      <c r="O155" s="10">
        <f t="shared" si="11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 "/",)</f>
        <v>theater</v>
      </c>
      <c r="T155" t="str">
        <v>plays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8"/>
        <v>0.58756567425569173</v>
      </c>
      <c r="G156" t="s">
        <v>14</v>
      </c>
      <c r="H156">
        <v>1059</v>
      </c>
      <c r="I156" s="7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0">
        <f t="shared" si="10"/>
        <v>42502.208333333328</v>
      </c>
      <c r="O156" s="10">
        <f t="shared" si="11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 "/",)</f>
        <v>music</v>
      </c>
      <c r="T156" t="str">
        <v>indie rock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8"/>
        <v>0.65022222222222226</v>
      </c>
      <c r="G157" t="s">
        <v>14</v>
      </c>
      <c r="H157">
        <v>1194</v>
      </c>
      <c r="I157" s="7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0">
        <f t="shared" si="10"/>
        <v>40262.208333333336</v>
      </c>
      <c r="O157" s="10">
        <f t="shared" si="11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 "/",)</f>
        <v>theater</v>
      </c>
      <c r="T157" t="str">
        <v>plays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8"/>
        <v>0.73939560439560437</v>
      </c>
      <c r="G158" t="s">
        <v>74</v>
      </c>
      <c r="H158">
        <v>379</v>
      </c>
      <c r="I158" s="7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0">
        <f t="shared" si="10"/>
        <v>43743.208333333328</v>
      </c>
      <c r="O158" s="10">
        <f t="shared" si="11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 "/",)</f>
        <v>music</v>
      </c>
      <c r="T158" t="str">
        <v>rock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8"/>
        <v>0.52666666666666662</v>
      </c>
      <c r="G159" t="s">
        <v>14</v>
      </c>
      <c r="H159">
        <v>30</v>
      </c>
      <c r="I159" s="7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0">
        <f t="shared" si="10"/>
        <v>41638.25</v>
      </c>
      <c r="O159" s="10">
        <f t="shared" si="11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 "/",)</f>
        <v>photography</v>
      </c>
      <c r="T159" t="str">
        <v>photography books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8"/>
        <v>2.2095238095238097</v>
      </c>
      <c r="G160" t="s">
        <v>20</v>
      </c>
      <c r="H160">
        <v>41</v>
      </c>
      <c r="I160" s="7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0">
        <f t="shared" si="10"/>
        <v>42346.25</v>
      </c>
      <c r="O160" s="10">
        <f t="shared" si="11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 "/",)</f>
        <v>music</v>
      </c>
      <c r="T160" t="str">
        <v>rock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8"/>
        <v>1.0001150627615063</v>
      </c>
      <c r="G161" t="s">
        <v>20</v>
      </c>
      <c r="H161">
        <v>1821</v>
      </c>
      <c r="I161" s="7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0">
        <f t="shared" si="10"/>
        <v>43551.208333333328</v>
      </c>
      <c r="O161" s="10">
        <f t="shared" si="11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 "/",)</f>
        <v>theater</v>
      </c>
      <c r="T161" t="str">
        <v>plays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8"/>
        <v>1.6231249999999999</v>
      </c>
      <c r="G162" t="s">
        <v>20</v>
      </c>
      <c r="H162">
        <v>164</v>
      </c>
      <c r="I162" s="7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0">
        <f t="shared" si="10"/>
        <v>43582.208333333328</v>
      </c>
      <c r="O162" s="10">
        <f t="shared" si="11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 "/",)</f>
        <v>technology</v>
      </c>
      <c r="T162" t="str">
        <v>wearables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8"/>
        <v>0.78181818181818186</v>
      </c>
      <c r="G163" t="s">
        <v>14</v>
      </c>
      <c r="H163">
        <v>75</v>
      </c>
      <c r="I163" s="7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0">
        <f t="shared" si="10"/>
        <v>42270.208333333328</v>
      </c>
      <c r="O163" s="10">
        <f t="shared" si="11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 "/",)</f>
        <v>technology</v>
      </c>
      <c r="T163" t="str">
        <v>web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8"/>
        <v>1.4973770491803278</v>
      </c>
      <c r="G164" t="s">
        <v>20</v>
      </c>
      <c r="H164">
        <v>157</v>
      </c>
      <c r="I164" s="7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0">
        <f t="shared" si="10"/>
        <v>43442.25</v>
      </c>
      <c r="O164" s="10">
        <f t="shared" si="11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 "/",)</f>
        <v>music</v>
      </c>
      <c r="T164" t="str">
        <v>rock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8"/>
        <v>2.5325714285714285</v>
      </c>
      <c r="G165" t="s">
        <v>20</v>
      </c>
      <c r="H165">
        <v>246</v>
      </c>
      <c r="I165" s="7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0">
        <f t="shared" si="10"/>
        <v>43028.208333333328</v>
      </c>
      <c r="O165" s="10">
        <f t="shared" si="11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 "/",)</f>
        <v>photography</v>
      </c>
      <c r="T165" t="str">
        <v>photography books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8"/>
        <v>1.0016943521594683</v>
      </c>
      <c r="G166" t="s">
        <v>20</v>
      </c>
      <c r="H166">
        <v>1396</v>
      </c>
      <c r="I166" s="7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0">
        <f t="shared" si="10"/>
        <v>43016.208333333328</v>
      </c>
      <c r="O166" s="10">
        <f t="shared" si="11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 "/",)</f>
        <v>theater</v>
      </c>
      <c r="T166" t="str">
        <v>plays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8"/>
        <v>1.2199004424778761</v>
      </c>
      <c r="G167" t="s">
        <v>20</v>
      </c>
      <c r="H167">
        <v>2506</v>
      </c>
      <c r="I167" s="7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0">
        <f t="shared" si="10"/>
        <v>42948.208333333328</v>
      </c>
      <c r="O167" s="10">
        <f t="shared" si="11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 "/",)</f>
        <v>technology</v>
      </c>
      <c r="T167" t="str">
        <v>web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8"/>
        <v>1.3713265306122449</v>
      </c>
      <c r="G168" t="s">
        <v>20</v>
      </c>
      <c r="H168">
        <v>244</v>
      </c>
      <c r="I168" s="7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0">
        <f t="shared" si="10"/>
        <v>40534.25</v>
      </c>
      <c r="O168" s="10">
        <f t="shared" si="11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 "/",)</f>
        <v>photography</v>
      </c>
      <c r="T168" t="str">
        <v>photography books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8"/>
        <v>4.155384615384615</v>
      </c>
      <c r="G169" t="s">
        <v>20</v>
      </c>
      <c r="H169">
        <v>146</v>
      </c>
      <c r="I169" s="7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10">
        <f t="shared" si="10"/>
        <v>41435.208333333336</v>
      </c>
      <c r="O169" s="10">
        <f t="shared" si="11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 "/",)</f>
        <v>theater</v>
      </c>
      <c r="T169" t="str">
        <v>plays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8"/>
        <v>0.3130913348946136</v>
      </c>
      <c r="G170" t="s">
        <v>14</v>
      </c>
      <c r="H170">
        <v>955</v>
      </c>
      <c r="I170" s="7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0">
        <f t="shared" si="10"/>
        <v>43518.25</v>
      </c>
      <c r="O170" s="10">
        <f t="shared" si="11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 "/",)</f>
        <v>music</v>
      </c>
      <c r="T170" t="str">
        <v>indie rock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8"/>
        <v>4.240815450643777</v>
      </c>
      <c r="G171" t="s">
        <v>20</v>
      </c>
      <c r="H171">
        <v>1267</v>
      </c>
      <c r="I171" s="7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0">
        <f t="shared" si="10"/>
        <v>41077.208333333336</v>
      </c>
      <c r="O171" s="10">
        <f t="shared" si="11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 "/",)</f>
        <v>film &amp; video</v>
      </c>
      <c r="T171" t="str">
        <v>shorts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2.9388623072833599E-2</v>
      </c>
      <c r="G172" t="s">
        <v>14</v>
      </c>
      <c r="H172">
        <v>67</v>
      </c>
      <c r="I172" s="7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0">
        <f t="shared" si="10"/>
        <v>42950.208333333328</v>
      </c>
      <c r="O172" s="10">
        <f t="shared" si="11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 "/",)</f>
        <v>music</v>
      </c>
      <c r="T172" t="str">
        <v>indie rock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8"/>
        <v>0.1063265306122449</v>
      </c>
      <c r="G173" t="s">
        <v>14</v>
      </c>
      <c r="H173">
        <v>5</v>
      </c>
      <c r="I173" s="7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10">
        <f t="shared" si="10"/>
        <v>41718.208333333336</v>
      </c>
      <c r="O173" s="10">
        <f t="shared" si="11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 "/",)</f>
        <v>publishing</v>
      </c>
      <c r="T173" t="str">
        <v>translations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8"/>
        <v>0.82874999999999999</v>
      </c>
      <c r="G174" t="s">
        <v>14</v>
      </c>
      <c r="H174">
        <v>26</v>
      </c>
      <c r="I174" s="7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10">
        <f t="shared" si="10"/>
        <v>41839.208333333336</v>
      </c>
      <c r="O174" s="10">
        <f t="shared" si="11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 "/",)</f>
        <v>film &amp; video</v>
      </c>
      <c r="T174" t="str">
        <v>documentary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8"/>
        <v>1.6301447776628748</v>
      </c>
      <c r="G175" t="s">
        <v>20</v>
      </c>
      <c r="H175">
        <v>1561</v>
      </c>
      <c r="I175" s="7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0">
        <f t="shared" si="10"/>
        <v>41412.208333333336</v>
      </c>
      <c r="O175" s="10">
        <f t="shared" si="11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 "/",)</f>
        <v>theater</v>
      </c>
      <c r="T175" t="str">
        <v>plays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8"/>
        <v>8.9466666666666672</v>
      </c>
      <c r="G176" t="s">
        <v>20</v>
      </c>
      <c r="H176">
        <v>48</v>
      </c>
      <c r="I176" s="7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0">
        <f t="shared" si="10"/>
        <v>42282.208333333328</v>
      </c>
      <c r="O176" s="10">
        <f t="shared" si="11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 "/",)</f>
        <v>technology</v>
      </c>
      <c r="T176" t="str">
        <v>wearables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8"/>
        <v>0.26191501103752757</v>
      </c>
      <c r="G177" t="s">
        <v>14</v>
      </c>
      <c r="H177">
        <v>1130</v>
      </c>
      <c r="I177" s="7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0">
        <f t="shared" si="10"/>
        <v>42613.208333333328</v>
      </c>
      <c r="O177" s="10">
        <f t="shared" si="11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 "/",)</f>
        <v>theater</v>
      </c>
      <c r="T177" t="str">
        <v>plays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8"/>
        <v>0.74834782608695649</v>
      </c>
      <c r="G178" t="s">
        <v>14</v>
      </c>
      <c r="H178">
        <v>782</v>
      </c>
      <c r="I178" s="7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0">
        <f t="shared" si="10"/>
        <v>42616.208333333328</v>
      </c>
      <c r="O178" s="10">
        <f t="shared" si="11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 "/",)</f>
        <v>theater</v>
      </c>
      <c r="T178" t="str">
        <v>plays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8"/>
        <v>4.1647680412371137</v>
      </c>
      <c r="G179" t="s">
        <v>20</v>
      </c>
      <c r="H179">
        <v>2739</v>
      </c>
      <c r="I179" s="7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0">
        <f t="shared" si="10"/>
        <v>40497.25</v>
      </c>
      <c r="O179" s="10">
        <f t="shared" si="11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 "/",)</f>
        <v>theater</v>
      </c>
      <c r="T179" t="str">
        <v>plays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8"/>
        <v>0.96208333333333329</v>
      </c>
      <c r="G180" t="s">
        <v>14</v>
      </c>
      <c r="H180">
        <v>210</v>
      </c>
      <c r="I180" s="7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0">
        <f t="shared" si="10"/>
        <v>42999.208333333328</v>
      </c>
      <c r="O180" s="10">
        <f t="shared" si="11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 "/",)</f>
        <v>food</v>
      </c>
      <c r="T180" t="str">
        <v>food trucks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8"/>
        <v>3.5771910112359548</v>
      </c>
      <c r="G181" t="s">
        <v>20</v>
      </c>
      <c r="H181">
        <v>3537</v>
      </c>
      <c r="I181" s="7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0">
        <f t="shared" si="10"/>
        <v>41350.208333333336</v>
      </c>
      <c r="O181" s="10">
        <f t="shared" si="11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 "/",)</f>
        <v>theater</v>
      </c>
      <c r="T181" t="str">
        <v>plays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8"/>
        <v>3.0845714285714285</v>
      </c>
      <c r="G182" t="s">
        <v>20</v>
      </c>
      <c r="H182">
        <v>2107</v>
      </c>
      <c r="I182" s="7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0">
        <f t="shared" si="10"/>
        <v>40259.208333333336</v>
      </c>
      <c r="O182" s="10">
        <f t="shared" si="11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 "/",)</f>
        <v>technology</v>
      </c>
      <c r="T182" t="str">
        <v>wearables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8"/>
        <v>0.61802325581395345</v>
      </c>
      <c r="G183" t="s">
        <v>14</v>
      </c>
      <c r="H183">
        <v>136</v>
      </c>
      <c r="I183" s="7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0">
        <f t="shared" si="10"/>
        <v>43012.208333333328</v>
      </c>
      <c r="O183" s="10">
        <f t="shared" si="11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 "/",)</f>
        <v>technology</v>
      </c>
      <c r="T183" t="str">
        <v>web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8"/>
        <v>7.2232472324723247</v>
      </c>
      <c r="G184" t="s">
        <v>20</v>
      </c>
      <c r="H184">
        <v>3318</v>
      </c>
      <c r="I184" s="7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0">
        <f t="shared" si="10"/>
        <v>43631.208333333328</v>
      </c>
      <c r="O184" s="10">
        <f t="shared" si="11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 "/",)</f>
        <v>theater</v>
      </c>
      <c r="T184" t="str">
        <v>plays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8"/>
        <v>0.69117647058823528</v>
      </c>
      <c r="G185" t="s">
        <v>14</v>
      </c>
      <c r="H185">
        <v>86</v>
      </c>
      <c r="I185" s="7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0">
        <f t="shared" si="10"/>
        <v>40430.208333333336</v>
      </c>
      <c r="O185" s="10">
        <f t="shared" si="11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 "/",)</f>
        <v>music</v>
      </c>
      <c r="T185" t="str">
        <v>rock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8"/>
        <v>2.9305555555555554</v>
      </c>
      <c r="G186" t="s">
        <v>20</v>
      </c>
      <c r="H186">
        <v>340</v>
      </c>
      <c r="I186" s="7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0">
        <f t="shared" si="10"/>
        <v>43588.208333333328</v>
      </c>
      <c r="O186" s="10">
        <f t="shared" si="11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 "/",)</f>
        <v>theater</v>
      </c>
      <c r="T186" t="str">
        <v>plays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8"/>
        <v>0.71799999999999997</v>
      </c>
      <c r="G187" t="s">
        <v>14</v>
      </c>
      <c r="H187">
        <v>19</v>
      </c>
      <c r="I187" s="7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0">
        <f t="shared" si="10"/>
        <v>43233.208333333328</v>
      </c>
      <c r="O187" s="10">
        <f t="shared" si="11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 "/",)</f>
        <v>film &amp; video</v>
      </c>
      <c r="T187" t="str">
        <v>television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8"/>
        <v>0.31934684684684683</v>
      </c>
      <c r="G188" t="s">
        <v>14</v>
      </c>
      <c r="H188">
        <v>886</v>
      </c>
      <c r="I188" s="7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0">
        <f t="shared" si="10"/>
        <v>41782.208333333336</v>
      </c>
      <c r="O188" s="10">
        <f t="shared" si="11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 "/",)</f>
        <v>theater</v>
      </c>
      <c r="T188" t="str">
        <v>plays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8"/>
        <v>2.2987375415282392</v>
      </c>
      <c r="G189" t="s">
        <v>20</v>
      </c>
      <c r="H189">
        <v>1442</v>
      </c>
      <c r="I189" s="7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0">
        <f t="shared" si="10"/>
        <v>41328.25</v>
      </c>
      <c r="O189" s="10">
        <f t="shared" si="11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 "/",)</f>
        <v>film &amp; video</v>
      </c>
      <c r="T189" t="str">
        <v>shorts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8"/>
        <v>0.3201219512195122</v>
      </c>
      <c r="G190" t="s">
        <v>14</v>
      </c>
      <c r="H190">
        <v>35</v>
      </c>
      <c r="I190" s="7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10">
        <f t="shared" si="10"/>
        <v>41975.25</v>
      </c>
      <c r="O190" s="10">
        <f t="shared" si="11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 "/",)</f>
        <v>theater</v>
      </c>
      <c r="T190" t="str">
        <v>plays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8"/>
        <v>0.23525352848928385</v>
      </c>
      <c r="G191" t="s">
        <v>74</v>
      </c>
      <c r="H191">
        <v>441</v>
      </c>
      <c r="I191" s="7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0">
        <f t="shared" si="10"/>
        <v>42433.25</v>
      </c>
      <c r="O191" s="10">
        <f t="shared" si="11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 "/",)</f>
        <v>theater</v>
      </c>
      <c r="T191" t="str">
        <v>plays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8"/>
        <v>0.68594594594594593</v>
      </c>
      <c r="G192" t="s">
        <v>14</v>
      </c>
      <c r="H192">
        <v>24</v>
      </c>
      <c r="I192" s="7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10">
        <f t="shared" si="10"/>
        <v>41429.208333333336</v>
      </c>
      <c r="O192" s="10">
        <f t="shared" si="11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 "/",)</f>
        <v>theater</v>
      </c>
      <c r="T192" t="str">
        <v>plays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8"/>
        <v>0.37952380952380954</v>
      </c>
      <c r="G193" t="s">
        <v>14</v>
      </c>
      <c r="H193">
        <v>86</v>
      </c>
      <c r="I193" s="7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0">
        <f t="shared" si="10"/>
        <v>43536.208333333328</v>
      </c>
      <c r="O193" s="10">
        <f t="shared" si="11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 "/",)</f>
        <v>theater</v>
      </c>
      <c r="T193" t="str">
        <v>plays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8"/>
        <v>0.19992957746478873</v>
      </c>
      <c r="G194" t="s">
        <v>14</v>
      </c>
      <c r="H194">
        <v>243</v>
      </c>
      <c r="I194" s="7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0">
        <f t="shared" si="10"/>
        <v>41817.208333333336</v>
      </c>
      <c r="O194" s="10">
        <f t="shared" si="11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 "/",)</f>
        <v>music</v>
      </c>
      <c r="T194" t="str">
        <v>rock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2">E195/D195</f>
        <v>0.45636363636363636</v>
      </c>
      <c r="G195" t="s">
        <v>14</v>
      </c>
      <c r="H195">
        <v>65</v>
      </c>
      <c r="I195" s="7">
        <f t="shared" ref="I195:I258" si="13">E195/H195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0">
        <f t="shared" ref="N195:N258" si="14">(((L195/60)/60)/24)+DATE(1970,1,1)</f>
        <v>43198.208333333328</v>
      </c>
      <c r="O195" s="10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 "/",)</f>
        <v>music</v>
      </c>
      <c r="T195" t="str">
        <v>indie rock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2"/>
        <v>1.227605633802817</v>
      </c>
      <c r="G196" t="s">
        <v>20</v>
      </c>
      <c r="H196">
        <v>126</v>
      </c>
      <c r="I196" s="7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0">
        <f t="shared" si="14"/>
        <v>42261.208333333328</v>
      </c>
      <c r="O196" s="10">
        <f t="shared" si="15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 "/",)</f>
        <v>music</v>
      </c>
      <c r="T196" t="str">
        <v>metal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2"/>
        <v>3.61753164556962</v>
      </c>
      <c r="G197" t="s">
        <v>20</v>
      </c>
      <c r="H197">
        <v>524</v>
      </c>
      <c r="I197" s="7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0">
        <f t="shared" si="14"/>
        <v>43310.208333333328</v>
      </c>
      <c r="O197" s="10">
        <f t="shared" si="15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 "/",)</f>
        <v>music</v>
      </c>
      <c r="T197" t="str">
        <v>electric music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2"/>
        <v>0.63146341463414635</v>
      </c>
      <c r="G198" t="s">
        <v>14</v>
      </c>
      <c r="H198">
        <v>100</v>
      </c>
      <c r="I198" s="7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10">
        <f t="shared" si="14"/>
        <v>42616.208333333328</v>
      </c>
      <c r="O198" s="10">
        <f t="shared" si="15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 "/",)</f>
        <v>technology</v>
      </c>
      <c r="T198" t="str">
        <v>wearables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2"/>
        <v>2.9820475319926874</v>
      </c>
      <c r="G199" t="s">
        <v>20</v>
      </c>
      <c r="H199">
        <v>1989</v>
      </c>
      <c r="I199" s="7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0">
        <f t="shared" si="14"/>
        <v>42909.208333333328</v>
      </c>
      <c r="O199" s="10">
        <f t="shared" si="15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 "/",)</f>
        <v>film &amp; video</v>
      </c>
      <c r="T199" t="str">
        <v>drama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9.5585443037974685E-2</v>
      </c>
      <c r="G200" t="s">
        <v>14</v>
      </c>
      <c r="H200">
        <v>168</v>
      </c>
      <c r="I200" s="7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0">
        <f t="shared" si="14"/>
        <v>40396.208333333336</v>
      </c>
      <c r="O200" s="10">
        <f t="shared" si="15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 "/",)</f>
        <v>music</v>
      </c>
      <c r="T200" t="str">
        <v>electric music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2"/>
        <v>0.5377777777777778</v>
      </c>
      <c r="G201" t="s">
        <v>14</v>
      </c>
      <c r="H201">
        <v>13</v>
      </c>
      <c r="I201" s="7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0">
        <f t="shared" si="14"/>
        <v>42192.208333333328</v>
      </c>
      <c r="O201" s="10">
        <f t="shared" si="15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 "/",)</f>
        <v>music</v>
      </c>
      <c r="T201" t="str">
        <v>rock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2"/>
        <v>0.02</v>
      </c>
      <c r="G202" t="s">
        <v>14</v>
      </c>
      <c r="H202">
        <v>1</v>
      </c>
      <c r="I202" s="7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10">
        <f t="shared" si="14"/>
        <v>40262.208333333336</v>
      </c>
      <c r="O202" s="10">
        <f t="shared" si="15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 "/",)</f>
        <v>theater</v>
      </c>
      <c r="T202" t="str">
        <v>plays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2"/>
        <v>6.8119047619047617</v>
      </c>
      <c r="G203" t="s">
        <v>20</v>
      </c>
      <c r="H203">
        <v>157</v>
      </c>
      <c r="I203" s="7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0">
        <f t="shared" si="14"/>
        <v>41845.208333333336</v>
      </c>
      <c r="O203" s="10">
        <f t="shared" si="15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 "/",)</f>
        <v>technology</v>
      </c>
      <c r="T203" t="str">
        <v>web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2"/>
        <v>0.78831325301204824</v>
      </c>
      <c r="G204" t="s">
        <v>74</v>
      </c>
      <c r="H204">
        <v>82</v>
      </c>
      <c r="I204" s="7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0">
        <f t="shared" si="14"/>
        <v>40818.208333333336</v>
      </c>
      <c r="O204" s="10">
        <f t="shared" si="15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 "/",)</f>
        <v>food</v>
      </c>
      <c r="T204" t="str">
        <v>food trucks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2"/>
        <v>1.3440792216817234</v>
      </c>
      <c r="G205" t="s">
        <v>20</v>
      </c>
      <c r="H205">
        <v>4498</v>
      </c>
      <c r="I205" s="7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0">
        <f t="shared" si="14"/>
        <v>42752.25</v>
      </c>
      <c r="O205" s="10">
        <f t="shared" si="15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 "/",)</f>
        <v>theater</v>
      </c>
      <c r="T205" t="str">
        <v>plays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2"/>
        <v>3.372E-2</v>
      </c>
      <c r="G206" t="s">
        <v>14</v>
      </c>
      <c r="H206">
        <v>40</v>
      </c>
      <c r="I206" s="7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0">
        <f t="shared" si="14"/>
        <v>40636.208333333336</v>
      </c>
      <c r="O206" s="10">
        <f t="shared" si="15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 "/",)</f>
        <v>music</v>
      </c>
      <c r="T206" t="str">
        <v>jazz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2"/>
        <v>4.3184615384615386</v>
      </c>
      <c r="G207" t="s">
        <v>20</v>
      </c>
      <c r="H207">
        <v>80</v>
      </c>
      <c r="I207" s="7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0">
        <f t="shared" si="14"/>
        <v>43390.208333333328</v>
      </c>
      <c r="O207" s="10">
        <f t="shared" si="15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 "/",)</f>
        <v>theater</v>
      </c>
      <c r="T207" t="str">
        <v>plays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2"/>
        <v>0.38844444444444443</v>
      </c>
      <c r="G208" t="s">
        <v>74</v>
      </c>
      <c r="H208">
        <v>57</v>
      </c>
      <c r="I208" s="7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0">
        <f t="shared" si="14"/>
        <v>40236.25</v>
      </c>
      <c r="O208" s="10">
        <f t="shared" si="15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 "/",)</f>
        <v>publishing</v>
      </c>
      <c r="T208" t="str">
        <v>fiction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2"/>
        <v>4.2569999999999997</v>
      </c>
      <c r="G209" t="s">
        <v>20</v>
      </c>
      <c r="H209">
        <v>43</v>
      </c>
      <c r="I209" s="7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10">
        <f t="shared" si="14"/>
        <v>43340.208333333328</v>
      </c>
      <c r="O209" s="10">
        <f t="shared" si="15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 "/",)</f>
        <v>music</v>
      </c>
      <c r="T209" t="str">
        <v>rock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2"/>
        <v>1.0112239715591671</v>
      </c>
      <c r="G210" t="s">
        <v>20</v>
      </c>
      <c r="H210">
        <v>2053</v>
      </c>
      <c r="I210" s="7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0">
        <f t="shared" si="14"/>
        <v>43048.25</v>
      </c>
      <c r="O210" s="10">
        <f t="shared" si="15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 "/",)</f>
        <v>film &amp; video</v>
      </c>
      <c r="T210" t="str">
        <v>documentary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2"/>
        <v>0.21188688946015424</v>
      </c>
      <c r="G211" t="s">
        <v>47</v>
      </c>
      <c r="H211">
        <v>808</v>
      </c>
      <c r="I211" s="7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0">
        <f t="shared" si="14"/>
        <v>42496.208333333328</v>
      </c>
      <c r="O211" s="10">
        <f t="shared" si="15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 "/",)</f>
        <v>film &amp; video</v>
      </c>
      <c r="T211" t="str">
        <v>documentary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2"/>
        <v>0.67425531914893622</v>
      </c>
      <c r="G212" t="s">
        <v>14</v>
      </c>
      <c r="H212">
        <v>226</v>
      </c>
      <c r="I212" s="7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0">
        <f t="shared" si="14"/>
        <v>42797.25</v>
      </c>
      <c r="O212" s="10">
        <f t="shared" si="15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 "/",)</f>
        <v>film &amp; video</v>
      </c>
      <c r="T212" t="str">
        <v>science fiction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2"/>
        <v>0.9492337164750958</v>
      </c>
      <c r="G213" t="s">
        <v>14</v>
      </c>
      <c r="H213">
        <v>1625</v>
      </c>
      <c r="I213" s="7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0">
        <f t="shared" si="14"/>
        <v>41513.208333333336</v>
      </c>
      <c r="O213" s="10">
        <f t="shared" si="15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 "/",)</f>
        <v>theater</v>
      </c>
      <c r="T213" t="str">
        <v>plays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2"/>
        <v>1.5185185185185186</v>
      </c>
      <c r="G214" t="s">
        <v>20</v>
      </c>
      <c r="H214">
        <v>168</v>
      </c>
      <c r="I214" s="7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0">
        <f t="shared" si="14"/>
        <v>43814.25</v>
      </c>
      <c r="O214" s="10">
        <f t="shared" si="15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 "/",)</f>
        <v>theater</v>
      </c>
      <c r="T214" t="str">
        <v>plays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2"/>
        <v>1.9516382252559727</v>
      </c>
      <c r="G215" t="s">
        <v>20</v>
      </c>
      <c r="H215">
        <v>4289</v>
      </c>
      <c r="I215" s="7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0">
        <f t="shared" si="14"/>
        <v>40488.208333333336</v>
      </c>
      <c r="O215" s="10">
        <f t="shared" si="15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 "/",)</f>
        <v>music</v>
      </c>
      <c r="T215" t="str">
        <v>indie rock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2"/>
        <v>10.231428571428571</v>
      </c>
      <c r="G216" t="s">
        <v>20</v>
      </c>
      <c r="H216">
        <v>165</v>
      </c>
      <c r="I216" s="7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0">
        <f t="shared" si="14"/>
        <v>40409.208333333336</v>
      </c>
      <c r="O216" s="10">
        <f t="shared" si="15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 "/",)</f>
        <v>music</v>
      </c>
      <c r="T216" t="str">
        <v>rock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3.8418367346938778E-2</v>
      </c>
      <c r="G217" t="s">
        <v>14</v>
      </c>
      <c r="H217">
        <v>143</v>
      </c>
      <c r="I217" s="7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0">
        <f t="shared" si="14"/>
        <v>43509.25</v>
      </c>
      <c r="O217" s="10">
        <f t="shared" si="15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 "/",)</f>
        <v>theater</v>
      </c>
      <c r="T217" t="str">
        <v>plays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2"/>
        <v>1.5507066557107643</v>
      </c>
      <c r="G218" t="s">
        <v>20</v>
      </c>
      <c r="H218">
        <v>1815</v>
      </c>
      <c r="I218" s="7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0">
        <f t="shared" si="14"/>
        <v>40869.25</v>
      </c>
      <c r="O218" s="10">
        <f t="shared" si="15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 "/",)</f>
        <v>theater</v>
      </c>
      <c r="T218" t="str">
        <v>plays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2"/>
        <v>0.44753477588871715</v>
      </c>
      <c r="G219" t="s">
        <v>14</v>
      </c>
      <c r="H219">
        <v>934</v>
      </c>
      <c r="I219" s="7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0">
        <f t="shared" si="14"/>
        <v>43583.208333333328</v>
      </c>
      <c r="O219" s="10">
        <f t="shared" si="15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 "/",)</f>
        <v>film &amp; video</v>
      </c>
      <c r="T219" t="str">
        <v>science fiction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2"/>
        <v>2.1594736842105262</v>
      </c>
      <c r="G220" t="s">
        <v>20</v>
      </c>
      <c r="H220">
        <v>397</v>
      </c>
      <c r="I220" s="7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0">
        <f t="shared" si="14"/>
        <v>40858.25</v>
      </c>
      <c r="O220" s="10">
        <f t="shared" si="15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 "/",)</f>
        <v>film &amp; video</v>
      </c>
      <c r="T220" t="str">
        <v>shorts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2"/>
        <v>3.3212709832134291</v>
      </c>
      <c r="G221" t="s">
        <v>20</v>
      </c>
      <c r="H221">
        <v>1539</v>
      </c>
      <c r="I221" s="7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0">
        <f t="shared" si="14"/>
        <v>41137.208333333336</v>
      </c>
      <c r="O221" s="10">
        <f t="shared" si="15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 "/",)</f>
        <v>film &amp; video</v>
      </c>
      <c r="T221" t="str">
        <v>animation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8.4430379746835441E-2</v>
      </c>
      <c r="G222" t="s">
        <v>14</v>
      </c>
      <c r="H222">
        <v>17</v>
      </c>
      <c r="I222" s="7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0">
        <f t="shared" si="14"/>
        <v>40725.208333333336</v>
      </c>
      <c r="O222" s="10">
        <f t="shared" si="15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 "/",)</f>
        <v>theater</v>
      </c>
      <c r="T222" t="str">
        <v>plays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2"/>
        <v>0.9862551440329218</v>
      </c>
      <c r="G223" t="s">
        <v>14</v>
      </c>
      <c r="H223">
        <v>2179</v>
      </c>
      <c r="I223" s="7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0">
        <f t="shared" si="14"/>
        <v>41081.208333333336</v>
      </c>
      <c r="O223" s="10">
        <f t="shared" si="15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 "/",)</f>
        <v>food</v>
      </c>
      <c r="T223" t="str">
        <v>food trucks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2"/>
        <v>1.3797916666666667</v>
      </c>
      <c r="G224" t="s">
        <v>20</v>
      </c>
      <c r="H224">
        <v>138</v>
      </c>
      <c r="I224" s="7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0">
        <f t="shared" si="14"/>
        <v>41914.208333333336</v>
      </c>
      <c r="O224" s="10">
        <f t="shared" si="15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 "/",)</f>
        <v>photography</v>
      </c>
      <c r="T224" t="str">
        <v>photography books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2"/>
        <v>0.93810996563573879</v>
      </c>
      <c r="G225" t="s">
        <v>14</v>
      </c>
      <c r="H225">
        <v>931</v>
      </c>
      <c r="I225" s="7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0">
        <f t="shared" si="14"/>
        <v>42445.208333333328</v>
      </c>
      <c r="O225" s="10">
        <f t="shared" si="15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 "/",)</f>
        <v>theater</v>
      </c>
      <c r="T225" t="str">
        <v>plays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2"/>
        <v>4.0363930885529156</v>
      </c>
      <c r="G226" t="s">
        <v>20</v>
      </c>
      <c r="H226">
        <v>3594</v>
      </c>
      <c r="I226" s="7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0">
        <f t="shared" si="14"/>
        <v>41906.208333333336</v>
      </c>
      <c r="O226" s="10">
        <f t="shared" si="15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 "/",)</f>
        <v>film &amp; video</v>
      </c>
      <c r="T226" t="str">
        <v>science fiction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2"/>
        <v>2.6017404129793511</v>
      </c>
      <c r="G227" t="s">
        <v>20</v>
      </c>
      <c r="H227">
        <v>5880</v>
      </c>
      <c r="I227" s="7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0">
        <f t="shared" si="14"/>
        <v>41762.208333333336</v>
      </c>
      <c r="O227" s="10">
        <f t="shared" si="15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 "/",)</f>
        <v>music</v>
      </c>
      <c r="T227" t="str">
        <v>rock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2"/>
        <v>3.6663333333333332</v>
      </c>
      <c r="G228" t="s">
        <v>20</v>
      </c>
      <c r="H228">
        <v>112</v>
      </c>
      <c r="I228" s="7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0">
        <f t="shared" si="14"/>
        <v>40276.208333333336</v>
      </c>
      <c r="O228" s="10">
        <f t="shared" si="15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 "/",)</f>
        <v>photography</v>
      </c>
      <c r="T228" t="str">
        <v>photography books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2"/>
        <v>1.687208538587849</v>
      </c>
      <c r="G229" t="s">
        <v>20</v>
      </c>
      <c r="H229">
        <v>943</v>
      </c>
      <c r="I229" s="7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0">
        <f t="shared" si="14"/>
        <v>42139.208333333328</v>
      </c>
      <c r="O229" s="10">
        <f t="shared" si="15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 "/",)</f>
        <v>games</v>
      </c>
      <c r="T229" t="str">
        <v>mobile games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2"/>
        <v>1.1990717911530093</v>
      </c>
      <c r="G230" t="s">
        <v>20</v>
      </c>
      <c r="H230">
        <v>2468</v>
      </c>
      <c r="I230" s="7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0">
        <f t="shared" si="14"/>
        <v>42613.208333333328</v>
      </c>
      <c r="O230" s="10">
        <f t="shared" si="15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 "/",)</f>
        <v>film &amp; video</v>
      </c>
      <c r="T230" t="str">
        <v>animation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2"/>
        <v>1.936892523364486</v>
      </c>
      <c r="G231" t="s">
        <v>20</v>
      </c>
      <c r="H231">
        <v>2551</v>
      </c>
      <c r="I231" s="7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0">
        <f t="shared" si="14"/>
        <v>42887.208333333328</v>
      </c>
      <c r="O231" s="10">
        <f t="shared" si="15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 "/",)</f>
        <v>games</v>
      </c>
      <c r="T231" t="str">
        <v>mobile games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2"/>
        <v>4.2016666666666671</v>
      </c>
      <c r="G232" t="s">
        <v>20</v>
      </c>
      <c r="H232">
        <v>101</v>
      </c>
      <c r="I232" s="7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0">
        <f t="shared" si="14"/>
        <v>43805.25</v>
      </c>
      <c r="O232" s="10">
        <f t="shared" si="15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 "/",)</f>
        <v>games</v>
      </c>
      <c r="T232" t="str">
        <v>video games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2"/>
        <v>0.76708333333333334</v>
      </c>
      <c r="G233" t="s">
        <v>74</v>
      </c>
      <c r="H233">
        <v>67</v>
      </c>
      <c r="I233" s="7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0">
        <f t="shared" si="14"/>
        <v>41415.208333333336</v>
      </c>
      <c r="O233" s="10">
        <f t="shared" si="15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 "/",)</f>
        <v>theater</v>
      </c>
      <c r="T233" t="str">
        <v>plays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2"/>
        <v>1.7126470588235294</v>
      </c>
      <c r="G234" t="s">
        <v>20</v>
      </c>
      <c r="H234">
        <v>92</v>
      </c>
      <c r="I234" s="7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0">
        <f t="shared" si="14"/>
        <v>42576.208333333328</v>
      </c>
      <c r="O234" s="10">
        <f t="shared" si="15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 "/",)</f>
        <v>theater</v>
      </c>
      <c r="T234" t="str">
        <v>plays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2"/>
        <v>1.5789473684210527</v>
      </c>
      <c r="G235" t="s">
        <v>20</v>
      </c>
      <c r="H235">
        <v>62</v>
      </c>
      <c r="I235" s="7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0">
        <f t="shared" si="14"/>
        <v>40706.208333333336</v>
      </c>
      <c r="O235" s="10">
        <f t="shared" si="15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 "/",)</f>
        <v>film &amp; video</v>
      </c>
      <c r="T235" t="str">
        <v>animation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2"/>
        <v>1.0908</v>
      </c>
      <c r="G236" t="s">
        <v>20</v>
      </c>
      <c r="H236">
        <v>149</v>
      </c>
      <c r="I236" s="7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0">
        <f t="shared" si="14"/>
        <v>42969.208333333328</v>
      </c>
      <c r="O236" s="10">
        <f t="shared" si="15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 "/",)</f>
        <v>games</v>
      </c>
      <c r="T236" t="str">
        <v>video games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2"/>
        <v>0.41732558139534881</v>
      </c>
      <c r="G237" t="s">
        <v>14</v>
      </c>
      <c r="H237">
        <v>92</v>
      </c>
      <c r="I237" s="7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0">
        <f t="shared" si="14"/>
        <v>42779.25</v>
      </c>
      <c r="O237" s="10">
        <f t="shared" si="15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 "/",)</f>
        <v>film &amp; video</v>
      </c>
      <c r="T237" t="str">
        <v>animation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2"/>
        <v>0.10944303797468355</v>
      </c>
      <c r="G238" t="s">
        <v>14</v>
      </c>
      <c r="H238">
        <v>57</v>
      </c>
      <c r="I238" s="7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0">
        <f t="shared" si="14"/>
        <v>43641.208333333328</v>
      </c>
      <c r="O238" s="10">
        <f t="shared" si="15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 "/",)</f>
        <v>music</v>
      </c>
      <c r="T238" t="str">
        <v>rock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2"/>
        <v>1.593763440860215</v>
      </c>
      <c r="G239" t="s">
        <v>20</v>
      </c>
      <c r="H239">
        <v>329</v>
      </c>
      <c r="I239" s="7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0">
        <f t="shared" si="14"/>
        <v>41754.208333333336</v>
      </c>
      <c r="O239" s="10">
        <f t="shared" si="15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 "/",)</f>
        <v>film &amp; video</v>
      </c>
      <c r="T239" t="str">
        <v>animation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2"/>
        <v>4.2241666666666671</v>
      </c>
      <c r="G240" t="s">
        <v>20</v>
      </c>
      <c r="H240">
        <v>97</v>
      </c>
      <c r="I240" s="7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0">
        <f t="shared" si="14"/>
        <v>43083.25</v>
      </c>
      <c r="O240" s="10">
        <f t="shared" si="15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 "/",)</f>
        <v>theater</v>
      </c>
      <c r="T240" t="str">
        <v>plays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2"/>
        <v>0.97718749999999999</v>
      </c>
      <c r="G241" t="s">
        <v>14</v>
      </c>
      <c r="H241">
        <v>41</v>
      </c>
      <c r="I241" s="7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0">
        <f t="shared" si="14"/>
        <v>42245.208333333328</v>
      </c>
      <c r="O241" s="10">
        <f t="shared" si="15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 "/",)</f>
        <v>technology</v>
      </c>
      <c r="T241" t="str">
        <v>wearables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2"/>
        <v>4.1878911564625847</v>
      </c>
      <c r="G242" t="s">
        <v>20</v>
      </c>
      <c r="H242">
        <v>1784</v>
      </c>
      <c r="I242" s="7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0">
        <f t="shared" si="14"/>
        <v>40396.208333333336</v>
      </c>
      <c r="O242" s="10">
        <f t="shared" si="15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 "/",)</f>
        <v>theater</v>
      </c>
      <c r="T242" t="str">
        <v>plays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2"/>
        <v>1.0191632047477746</v>
      </c>
      <c r="G243" t="s">
        <v>20</v>
      </c>
      <c r="H243">
        <v>1684</v>
      </c>
      <c r="I243" s="7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0">
        <f t="shared" si="14"/>
        <v>41742.208333333336</v>
      </c>
      <c r="O243" s="10">
        <f t="shared" si="15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 "/",)</f>
        <v>publishing</v>
      </c>
      <c r="T243" t="str">
        <v>nonfiction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2"/>
        <v>1.2772619047619047</v>
      </c>
      <c r="G244" t="s">
        <v>20</v>
      </c>
      <c r="H244">
        <v>250</v>
      </c>
      <c r="I244" s="7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0">
        <f t="shared" si="14"/>
        <v>42865.208333333328</v>
      </c>
      <c r="O244" s="10">
        <f t="shared" si="15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 "/",)</f>
        <v>music</v>
      </c>
      <c r="T244" t="str">
        <v>rock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2"/>
        <v>4.4521739130434783</v>
      </c>
      <c r="G245" t="s">
        <v>20</v>
      </c>
      <c r="H245">
        <v>238</v>
      </c>
      <c r="I245" s="7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0">
        <f t="shared" si="14"/>
        <v>43163.25</v>
      </c>
      <c r="O245" s="10">
        <f t="shared" si="15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 "/",)</f>
        <v>theater</v>
      </c>
      <c r="T245" t="str">
        <v>plays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2"/>
        <v>5.6971428571428575</v>
      </c>
      <c r="G246" t="s">
        <v>20</v>
      </c>
      <c r="H246">
        <v>53</v>
      </c>
      <c r="I246" s="7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0">
        <f t="shared" si="14"/>
        <v>41834.208333333336</v>
      </c>
      <c r="O246" s="10">
        <f t="shared" si="15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 "/",)</f>
        <v>theater</v>
      </c>
      <c r="T246" t="str">
        <v>plays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2"/>
        <v>5.0934482758620687</v>
      </c>
      <c r="G247" t="s">
        <v>20</v>
      </c>
      <c r="H247">
        <v>214</v>
      </c>
      <c r="I247" s="7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0">
        <f t="shared" si="14"/>
        <v>41736.208333333336</v>
      </c>
      <c r="O247" s="10">
        <f t="shared" si="15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 "/",)</f>
        <v>theater</v>
      </c>
      <c r="T247" t="str">
        <v>plays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2"/>
        <v>3.2553333333333332</v>
      </c>
      <c r="G248" t="s">
        <v>20</v>
      </c>
      <c r="H248">
        <v>222</v>
      </c>
      <c r="I248" s="7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0">
        <f t="shared" si="14"/>
        <v>41491.208333333336</v>
      </c>
      <c r="O248" s="10">
        <f t="shared" si="15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 "/",)</f>
        <v>technology</v>
      </c>
      <c r="T248" t="str">
        <v>web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2"/>
        <v>9.3261616161616168</v>
      </c>
      <c r="G249" t="s">
        <v>20</v>
      </c>
      <c r="H249">
        <v>1884</v>
      </c>
      <c r="I249" s="7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0">
        <f t="shared" si="14"/>
        <v>42726.25</v>
      </c>
      <c r="O249" s="10">
        <f t="shared" si="15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 "/",)</f>
        <v>publishing</v>
      </c>
      <c r="T249" t="str">
        <v>fiction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2"/>
        <v>2.1133870967741935</v>
      </c>
      <c r="G250" t="s">
        <v>20</v>
      </c>
      <c r="H250">
        <v>218</v>
      </c>
      <c r="I250" s="7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0">
        <f t="shared" si="14"/>
        <v>42004.25</v>
      </c>
      <c r="O250" s="10">
        <f t="shared" si="15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 "/",)</f>
        <v>games</v>
      </c>
      <c r="T250" t="str">
        <v>mobile games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2"/>
        <v>2.7332520325203253</v>
      </c>
      <c r="G251" t="s">
        <v>20</v>
      </c>
      <c r="H251">
        <v>6465</v>
      </c>
      <c r="I251" s="7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0">
        <f t="shared" si="14"/>
        <v>42006.25</v>
      </c>
      <c r="O251" s="10">
        <f t="shared" si="15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 "/",)</f>
        <v>publishing</v>
      </c>
      <c r="T251" t="str">
        <v>translations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2"/>
        <v>0.03</v>
      </c>
      <c r="G252" t="s">
        <v>14</v>
      </c>
      <c r="H252">
        <v>1</v>
      </c>
      <c r="I252" s="7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10">
        <f t="shared" si="14"/>
        <v>40203.25</v>
      </c>
      <c r="O252" s="10">
        <f t="shared" si="15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 "/",)</f>
        <v>music</v>
      </c>
      <c r="T252" t="str">
        <v>rock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2"/>
        <v>0.54084507042253516</v>
      </c>
      <c r="G253" t="s">
        <v>14</v>
      </c>
      <c r="H253">
        <v>101</v>
      </c>
      <c r="I253" s="7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0">
        <f t="shared" si="14"/>
        <v>41252.25</v>
      </c>
      <c r="O253" s="10">
        <f t="shared" si="15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 "/",)</f>
        <v>theater</v>
      </c>
      <c r="T253" t="str">
        <v>plays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2"/>
        <v>6.2629999999999999</v>
      </c>
      <c r="G254" t="s">
        <v>20</v>
      </c>
      <c r="H254">
        <v>59</v>
      </c>
      <c r="I254" s="7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0">
        <f t="shared" si="14"/>
        <v>41572.208333333336</v>
      </c>
      <c r="O254" s="10">
        <f t="shared" si="15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 "/",)</f>
        <v>theater</v>
      </c>
      <c r="T254" t="str">
        <v>plays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2"/>
        <v>0.8902139917695473</v>
      </c>
      <c r="G255" t="s">
        <v>14</v>
      </c>
      <c r="H255">
        <v>1335</v>
      </c>
      <c r="I255" s="7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0">
        <f t="shared" si="14"/>
        <v>40641.208333333336</v>
      </c>
      <c r="O255" s="10">
        <f t="shared" si="15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 "/",)</f>
        <v>film &amp; video</v>
      </c>
      <c r="T255" t="str">
        <v>drama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2"/>
        <v>1.8489130434782608</v>
      </c>
      <c r="G256" t="s">
        <v>20</v>
      </c>
      <c r="H256">
        <v>88</v>
      </c>
      <c r="I256" s="7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0">
        <f t="shared" si="14"/>
        <v>42787.25</v>
      </c>
      <c r="O256" s="10">
        <f t="shared" si="15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 "/",)</f>
        <v>publishing</v>
      </c>
      <c r="T256" t="str">
        <v>nonfiction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2"/>
        <v>1.2016770186335404</v>
      </c>
      <c r="G257" t="s">
        <v>20</v>
      </c>
      <c r="H257">
        <v>1697</v>
      </c>
      <c r="I257" s="7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0">
        <f t="shared" si="14"/>
        <v>40590.25</v>
      </c>
      <c r="O257" s="10">
        <f t="shared" si="15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 "/",)</f>
        <v>music</v>
      </c>
      <c r="T257" t="str">
        <v>rock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2"/>
        <v>0.23390243902439026</v>
      </c>
      <c r="G258" t="s">
        <v>14</v>
      </c>
      <c r="H258">
        <v>15</v>
      </c>
      <c r="I258" s="7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0">
        <f t="shared" si="14"/>
        <v>42393.25</v>
      </c>
      <c r="O258" s="10">
        <f t="shared" si="15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 "/",)</f>
        <v>music</v>
      </c>
      <c r="T258" t="str">
        <v>rock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6">E259/D259</f>
        <v>1.46</v>
      </c>
      <c r="G259" t="s">
        <v>20</v>
      </c>
      <c r="H259">
        <v>92</v>
      </c>
      <c r="I259" s="7">
        <f t="shared" ref="I259:I322" si="17">E259/H259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0">
        <f t="shared" ref="N259:N322" si="18">(((L259/60)/60)/24)+DATE(1970,1,1)</f>
        <v>41338.25</v>
      </c>
      <c r="O259" s="10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 "/",)</f>
        <v>theater</v>
      </c>
      <c r="T259" t="str">
        <v>plays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6"/>
        <v>2.6848000000000001</v>
      </c>
      <c r="G260" t="s">
        <v>20</v>
      </c>
      <c r="H260">
        <v>186</v>
      </c>
      <c r="I260" s="7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0">
        <f t="shared" si="18"/>
        <v>42712.25</v>
      </c>
      <c r="O260" s="10">
        <f t="shared" si="19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 "/",)</f>
        <v>theater</v>
      </c>
      <c r="T260" t="str">
        <v>plays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6"/>
        <v>5.9749999999999996</v>
      </c>
      <c r="G261" t="s">
        <v>20</v>
      </c>
      <c r="H261">
        <v>138</v>
      </c>
      <c r="I261" s="7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0">
        <f t="shared" si="18"/>
        <v>41251.25</v>
      </c>
      <c r="O261" s="10">
        <f t="shared" si="19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 "/",)</f>
        <v>photography</v>
      </c>
      <c r="T261" t="str">
        <v>photography books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6"/>
        <v>1.5769841269841269</v>
      </c>
      <c r="G262" t="s">
        <v>20</v>
      </c>
      <c r="H262">
        <v>261</v>
      </c>
      <c r="I262" s="7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0">
        <f t="shared" si="18"/>
        <v>41180.208333333336</v>
      </c>
      <c r="O262" s="10">
        <f t="shared" si="19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 "/",)</f>
        <v>music</v>
      </c>
      <c r="T262" t="str">
        <v>rock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6"/>
        <v>0.31201660735468567</v>
      </c>
      <c r="G263" t="s">
        <v>14</v>
      </c>
      <c r="H263">
        <v>454</v>
      </c>
      <c r="I263" s="7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0">
        <f t="shared" si="18"/>
        <v>40415.208333333336</v>
      </c>
      <c r="O263" s="10">
        <f t="shared" si="19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 "/",)</f>
        <v>music</v>
      </c>
      <c r="T263" t="str">
        <v>rock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6"/>
        <v>3.1341176470588237</v>
      </c>
      <c r="G264" t="s">
        <v>20</v>
      </c>
      <c r="H264">
        <v>107</v>
      </c>
      <c r="I264" s="7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0">
        <f t="shared" si="18"/>
        <v>40638.208333333336</v>
      </c>
      <c r="O264" s="10">
        <f t="shared" si="19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 "/",)</f>
        <v>music</v>
      </c>
      <c r="T264" t="str">
        <v>indie rock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6"/>
        <v>3.7089655172413791</v>
      </c>
      <c r="G265" t="s">
        <v>20</v>
      </c>
      <c r="H265">
        <v>199</v>
      </c>
      <c r="I265" s="7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0">
        <f t="shared" si="18"/>
        <v>40187.25</v>
      </c>
      <c r="O265" s="10">
        <f t="shared" si="19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 "/",)</f>
        <v>photography</v>
      </c>
      <c r="T265" t="str">
        <v>photography books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6"/>
        <v>3.6266447368421053</v>
      </c>
      <c r="G266" t="s">
        <v>20</v>
      </c>
      <c r="H266">
        <v>5512</v>
      </c>
      <c r="I266" s="7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0">
        <f t="shared" si="18"/>
        <v>41317.25</v>
      </c>
      <c r="O266" s="10">
        <f t="shared" si="19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 "/",)</f>
        <v>theater</v>
      </c>
      <c r="T266" t="str">
        <v>plays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6"/>
        <v>1.2308163265306122</v>
      </c>
      <c r="G267" t="s">
        <v>20</v>
      </c>
      <c r="H267">
        <v>86</v>
      </c>
      <c r="I267" s="7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0">
        <f t="shared" si="18"/>
        <v>42372.25</v>
      </c>
      <c r="O267" s="10">
        <f t="shared" si="19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 "/",)</f>
        <v>theater</v>
      </c>
      <c r="T267" t="str">
        <v>plays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6"/>
        <v>0.76766756032171579</v>
      </c>
      <c r="G268" t="s">
        <v>14</v>
      </c>
      <c r="H268">
        <v>3182</v>
      </c>
      <c r="I268" s="7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0">
        <f t="shared" si="18"/>
        <v>41950.25</v>
      </c>
      <c r="O268" s="10">
        <f t="shared" si="19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 "/",)</f>
        <v>music</v>
      </c>
      <c r="T268" t="str">
        <v>jazz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6"/>
        <v>2.3362012987012988</v>
      </c>
      <c r="G269" t="s">
        <v>20</v>
      </c>
      <c r="H269">
        <v>2768</v>
      </c>
      <c r="I269" s="7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0">
        <f t="shared" si="18"/>
        <v>41206.208333333336</v>
      </c>
      <c r="O269" s="10">
        <f t="shared" si="19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 "/",)</f>
        <v>theater</v>
      </c>
      <c r="T269" t="str">
        <v>plays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6"/>
        <v>1.8053333333333332</v>
      </c>
      <c r="G270" t="s">
        <v>20</v>
      </c>
      <c r="H270">
        <v>48</v>
      </c>
      <c r="I270" s="7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0">
        <f t="shared" si="18"/>
        <v>41186.208333333336</v>
      </c>
      <c r="O270" s="10">
        <f t="shared" si="19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 "/",)</f>
        <v>film &amp; video</v>
      </c>
      <c r="T270" t="str">
        <v>documentary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6"/>
        <v>2.5262857142857142</v>
      </c>
      <c r="G271" t="s">
        <v>20</v>
      </c>
      <c r="H271">
        <v>87</v>
      </c>
      <c r="I271" s="7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0">
        <f t="shared" si="18"/>
        <v>43496.25</v>
      </c>
      <c r="O271" s="10">
        <f t="shared" si="19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 "/",)</f>
        <v>film &amp; video</v>
      </c>
      <c r="T271" t="str">
        <v>television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6"/>
        <v>0.27176538240368026</v>
      </c>
      <c r="G272" t="s">
        <v>74</v>
      </c>
      <c r="H272">
        <v>1890</v>
      </c>
      <c r="I272" s="7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0">
        <f t="shared" si="18"/>
        <v>40514.25</v>
      </c>
      <c r="O272" s="10">
        <f t="shared" si="19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 "/",)</f>
        <v>games</v>
      </c>
      <c r="T272" t="str">
        <v>video games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1.2706571242680547E-2</v>
      </c>
      <c r="G273" t="s">
        <v>47</v>
      </c>
      <c r="H273">
        <v>61</v>
      </c>
      <c r="I273" s="7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0">
        <f t="shared" si="18"/>
        <v>42345.25</v>
      </c>
      <c r="O273" s="10">
        <f t="shared" si="19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 "/",)</f>
        <v>photography</v>
      </c>
      <c r="T273" t="str">
        <v>photography books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6"/>
        <v>3.0400978473581213</v>
      </c>
      <c r="G274" t="s">
        <v>20</v>
      </c>
      <c r="H274">
        <v>1894</v>
      </c>
      <c r="I274" s="7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0">
        <f t="shared" si="18"/>
        <v>43656.208333333328</v>
      </c>
      <c r="O274" s="10">
        <f t="shared" si="19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 "/",)</f>
        <v>theater</v>
      </c>
      <c r="T274" t="str">
        <v>plays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6"/>
        <v>1.3723076923076922</v>
      </c>
      <c r="G275" t="s">
        <v>20</v>
      </c>
      <c r="H275">
        <v>282</v>
      </c>
      <c r="I275" s="7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0">
        <f t="shared" si="18"/>
        <v>42995.208333333328</v>
      </c>
      <c r="O275" s="10">
        <f t="shared" si="19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 "/",)</f>
        <v>theater</v>
      </c>
      <c r="T275" t="str">
        <v>plays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6"/>
        <v>0.32208333333333333</v>
      </c>
      <c r="G276" t="s">
        <v>14</v>
      </c>
      <c r="H276">
        <v>15</v>
      </c>
      <c r="I276" s="7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0">
        <f t="shared" si="18"/>
        <v>43045.25</v>
      </c>
      <c r="O276" s="10">
        <f t="shared" si="19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 "/",)</f>
        <v>theater</v>
      </c>
      <c r="T276" t="str">
        <v>plays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6"/>
        <v>2.4151282051282053</v>
      </c>
      <c r="G277" t="s">
        <v>20</v>
      </c>
      <c r="H277">
        <v>116</v>
      </c>
      <c r="I277" s="7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0">
        <f t="shared" si="18"/>
        <v>43561.208333333328</v>
      </c>
      <c r="O277" s="10">
        <f t="shared" si="19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 "/",)</f>
        <v>publishing</v>
      </c>
      <c r="T277" t="str">
        <v>translations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6"/>
        <v>0.96799999999999997</v>
      </c>
      <c r="G278" t="s">
        <v>14</v>
      </c>
      <c r="H278">
        <v>133</v>
      </c>
      <c r="I278" s="7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0">
        <f t="shared" si="18"/>
        <v>41018.208333333336</v>
      </c>
      <c r="O278" s="10">
        <f t="shared" si="19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 "/",)</f>
        <v>games</v>
      </c>
      <c r="T278" t="str">
        <v>video games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6"/>
        <v>10.664285714285715</v>
      </c>
      <c r="G279" t="s">
        <v>20</v>
      </c>
      <c r="H279">
        <v>83</v>
      </c>
      <c r="I279" s="7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0">
        <f t="shared" si="18"/>
        <v>40378.208333333336</v>
      </c>
      <c r="O279" s="10">
        <f t="shared" si="19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 "/",)</f>
        <v>theater</v>
      </c>
      <c r="T279" t="str">
        <v>plays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6"/>
        <v>3.2588888888888889</v>
      </c>
      <c r="G280" t="s">
        <v>20</v>
      </c>
      <c r="H280">
        <v>91</v>
      </c>
      <c r="I280" s="7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0">
        <f t="shared" si="18"/>
        <v>41239.25</v>
      </c>
      <c r="O280" s="10">
        <f t="shared" si="19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 "/",)</f>
        <v>technology</v>
      </c>
      <c r="T280" t="str">
        <v>web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6"/>
        <v>1.7070000000000001</v>
      </c>
      <c r="G281" t="s">
        <v>20</v>
      </c>
      <c r="H281">
        <v>546</v>
      </c>
      <c r="I281" s="7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0">
        <f t="shared" si="18"/>
        <v>43346.208333333328</v>
      </c>
      <c r="O281" s="10">
        <f t="shared" si="19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 "/",)</f>
        <v>theater</v>
      </c>
      <c r="T281" t="str">
        <v>plays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6"/>
        <v>5.8144</v>
      </c>
      <c r="G282" t="s">
        <v>20</v>
      </c>
      <c r="H282">
        <v>393</v>
      </c>
      <c r="I282" s="7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0">
        <f t="shared" si="18"/>
        <v>43060.25</v>
      </c>
      <c r="O282" s="10">
        <f t="shared" si="19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 "/",)</f>
        <v>film &amp; video</v>
      </c>
      <c r="T282" t="str">
        <v>animation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6"/>
        <v>0.91520972644376897</v>
      </c>
      <c r="G283" t="s">
        <v>14</v>
      </c>
      <c r="H283">
        <v>2062</v>
      </c>
      <c r="I283" s="7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0">
        <f t="shared" si="18"/>
        <v>40979.25</v>
      </c>
      <c r="O283" s="10">
        <f t="shared" si="19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 "/",)</f>
        <v>theater</v>
      </c>
      <c r="T283" t="str">
        <v>plays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6"/>
        <v>1.0804761904761904</v>
      </c>
      <c r="G284" t="s">
        <v>20</v>
      </c>
      <c r="H284">
        <v>133</v>
      </c>
      <c r="I284" s="7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0">
        <f t="shared" si="18"/>
        <v>42701.25</v>
      </c>
      <c r="O284" s="10">
        <f t="shared" si="19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 "/",)</f>
        <v>film &amp; video</v>
      </c>
      <c r="T284" t="str">
        <v>television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6"/>
        <v>0.18728395061728395</v>
      </c>
      <c r="G285" t="s">
        <v>14</v>
      </c>
      <c r="H285">
        <v>29</v>
      </c>
      <c r="I285" s="7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0">
        <f t="shared" si="18"/>
        <v>42520.208333333328</v>
      </c>
      <c r="O285" s="10">
        <f t="shared" si="19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 "/",)</f>
        <v>music</v>
      </c>
      <c r="T285" t="str">
        <v>rock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6"/>
        <v>0.83193877551020412</v>
      </c>
      <c r="G286" t="s">
        <v>14</v>
      </c>
      <c r="H286">
        <v>132</v>
      </c>
      <c r="I286" s="7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0">
        <f t="shared" si="18"/>
        <v>41030.208333333336</v>
      </c>
      <c r="O286" s="10">
        <f t="shared" si="19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 "/",)</f>
        <v>technology</v>
      </c>
      <c r="T286" t="str">
        <v>web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6"/>
        <v>7.0633333333333335</v>
      </c>
      <c r="G287" t="s">
        <v>20</v>
      </c>
      <c r="H287">
        <v>254</v>
      </c>
      <c r="I287" s="7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0">
        <f t="shared" si="18"/>
        <v>42623.208333333328</v>
      </c>
      <c r="O287" s="10">
        <f t="shared" si="19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 "/",)</f>
        <v>theater</v>
      </c>
      <c r="T287" t="str">
        <v>plays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6"/>
        <v>0.17446030330062445</v>
      </c>
      <c r="G288" t="s">
        <v>74</v>
      </c>
      <c r="H288">
        <v>184</v>
      </c>
      <c r="I288" s="7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0">
        <f t="shared" si="18"/>
        <v>42697.25</v>
      </c>
      <c r="O288" s="10">
        <f t="shared" si="19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 "/",)</f>
        <v>theater</v>
      </c>
      <c r="T288" t="str">
        <v>plays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6"/>
        <v>2.0973015873015872</v>
      </c>
      <c r="G289" t="s">
        <v>20</v>
      </c>
      <c r="H289">
        <v>176</v>
      </c>
      <c r="I289" s="7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0">
        <f t="shared" si="18"/>
        <v>42122.208333333328</v>
      </c>
      <c r="O289" s="10">
        <f t="shared" si="19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 "/",)</f>
        <v>music</v>
      </c>
      <c r="T289" t="str">
        <v>electric music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6"/>
        <v>0.97785714285714287</v>
      </c>
      <c r="G290" t="s">
        <v>14</v>
      </c>
      <c r="H290">
        <v>137</v>
      </c>
      <c r="I290" s="7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0">
        <f t="shared" si="18"/>
        <v>40982.208333333336</v>
      </c>
      <c r="O290" s="10">
        <f t="shared" si="19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 "/",)</f>
        <v>music</v>
      </c>
      <c r="T290" t="str">
        <v>metal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6"/>
        <v>16.842500000000001</v>
      </c>
      <c r="G291" t="s">
        <v>20</v>
      </c>
      <c r="H291">
        <v>337</v>
      </c>
      <c r="I291" s="7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0">
        <f t="shared" si="18"/>
        <v>42219.208333333328</v>
      </c>
      <c r="O291" s="10">
        <f t="shared" si="19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 "/",)</f>
        <v>theater</v>
      </c>
      <c r="T291" t="str">
        <v>plays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6"/>
        <v>0.54402135231316728</v>
      </c>
      <c r="G292" t="s">
        <v>14</v>
      </c>
      <c r="H292">
        <v>908</v>
      </c>
      <c r="I292" s="7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0">
        <f t="shared" si="18"/>
        <v>41404.208333333336</v>
      </c>
      <c r="O292" s="10">
        <f t="shared" si="19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 "/",)</f>
        <v>film &amp; video</v>
      </c>
      <c r="T292" t="str">
        <v>documentary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6"/>
        <v>4.5661111111111108</v>
      </c>
      <c r="G293" t="s">
        <v>20</v>
      </c>
      <c r="H293">
        <v>107</v>
      </c>
      <c r="I293" s="7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0">
        <f t="shared" si="18"/>
        <v>40831.208333333336</v>
      </c>
      <c r="O293" s="10">
        <f t="shared" si="19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 "/",)</f>
        <v>technology</v>
      </c>
      <c r="T293" t="str">
        <v>web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9.8219178082191785E-2</v>
      </c>
      <c r="G294" t="s">
        <v>14</v>
      </c>
      <c r="H294">
        <v>10</v>
      </c>
      <c r="I294" s="7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10">
        <f t="shared" si="18"/>
        <v>40984.208333333336</v>
      </c>
      <c r="O294" s="10">
        <f t="shared" si="19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 "/",)</f>
        <v>food</v>
      </c>
      <c r="T294" t="str">
        <v>food trucks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6"/>
        <v>0.16384615384615384</v>
      </c>
      <c r="G295" t="s">
        <v>74</v>
      </c>
      <c r="H295">
        <v>32</v>
      </c>
      <c r="I295" s="7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0">
        <f t="shared" si="18"/>
        <v>40456.208333333336</v>
      </c>
      <c r="O295" s="10">
        <f t="shared" si="19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 "/",)</f>
        <v>theater</v>
      </c>
      <c r="T295" t="str">
        <v>plays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6"/>
        <v>13.396666666666667</v>
      </c>
      <c r="G296" t="s">
        <v>20</v>
      </c>
      <c r="H296">
        <v>183</v>
      </c>
      <c r="I296" s="7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0">
        <f t="shared" si="18"/>
        <v>43399.208333333328</v>
      </c>
      <c r="O296" s="10">
        <f t="shared" si="19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 "/",)</f>
        <v>theater</v>
      </c>
      <c r="T296" t="str">
        <v>plays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6"/>
        <v>0.35650077760497667</v>
      </c>
      <c r="G297" t="s">
        <v>14</v>
      </c>
      <c r="H297">
        <v>1910</v>
      </c>
      <c r="I297" s="7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0">
        <f t="shared" si="18"/>
        <v>41562.208333333336</v>
      </c>
      <c r="O297" s="10">
        <f t="shared" si="19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 "/",)</f>
        <v>theater</v>
      </c>
      <c r="T297" t="str">
        <v>plays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6"/>
        <v>0.54950819672131146</v>
      </c>
      <c r="G298" t="s">
        <v>14</v>
      </c>
      <c r="H298">
        <v>38</v>
      </c>
      <c r="I298" s="7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0">
        <f t="shared" si="18"/>
        <v>43493.25</v>
      </c>
      <c r="O298" s="10">
        <f t="shared" si="19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 "/",)</f>
        <v>theater</v>
      </c>
      <c r="T298" t="str">
        <v>plays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6"/>
        <v>0.94236111111111109</v>
      </c>
      <c r="G299" t="s">
        <v>14</v>
      </c>
      <c r="H299">
        <v>104</v>
      </c>
      <c r="I299" s="7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0">
        <f t="shared" si="18"/>
        <v>41653.25</v>
      </c>
      <c r="O299" s="10">
        <f t="shared" si="19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 "/",)</f>
        <v>theater</v>
      </c>
      <c r="T299" t="str">
        <v>plays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6"/>
        <v>1.4391428571428571</v>
      </c>
      <c r="G300" t="s">
        <v>20</v>
      </c>
      <c r="H300">
        <v>72</v>
      </c>
      <c r="I300" s="7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0">
        <f t="shared" si="18"/>
        <v>42426.25</v>
      </c>
      <c r="O300" s="10">
        <f t="shared" si="19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 "/",)</f>
        <v>music</v>
      </c>
      <c r="T300" t="str">
        <v>rock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6"/>
        <v>0.51421052631578945</v>
      </c>
      <c r="G301" t="s">
        <v>14</v>
      </c>
      <c r="H301">
        <v>49</v>
      </c>
      <c r="I301" s="7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0">
        <f t="shared" si="18"/>
        <v>42432.25</v>
      </c>
      <c r="O301" s="10">
        <f t="shared" si="19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 "/",)</f>
        <v>food</v>
      </c>
      <c r="T301" t="str">
        <v>food trucks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6"/>
        <v>0.05</v>
      </c>
      <c r="G302" t="s">
        <v>14</v>
      </c>
      <c r="H302">
        <v>1</v>
      </c>
      <c r="I302" s="7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10">
        <f t="shared" si="18"/>
        <v>42977.208333333328</v>
      </c>
      <c r="O302" s="10">
        <f t="shared" si="19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 "/",)</f>
        <v>publishing</v>
      </c>
      <c r="T302" t="str">
        <v>nonfiction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6"/>
        <v>13.446666666666667</v>
      </c>
      <c r="G303" t="s">
        <v>20</v>
      </c>
      <c r="H303">
        <v>295</v>
      </c>
      <c r="I303" s="7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0">
        <f t="shared" si="18"/>
        <v>42061.25</v>
      </c>
      <c r="O303" s="10">
        <f t="shared" si="19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 "/",)</f>
        <v>film &amp; video</v>
      </c>
      <c r="T303" t="str">
        <v>documentary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6"/>
        <v>0.31844940867279897</v>
      </c>
      <c r="G304" t="s">
        <v>14</v>
      </c>
      <c r="H304">
        <v>245</v>
      </c>
      <c r="I304" s="7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0">
        <f t="shared" si="18"/>
        <v>43345.208333333328</v>
      </c>
      <c r="O304" s="10">
        <f t="shared" si="19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 "/",)</f>
        <v>theater</v>
      </c>
      <c r="T304" t="str">
        <v>plays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6"/>
        <v>0.82617647058823529</v>
      </c>
      <c r="G305" t="s">
        <v>14</v>
      </c>
      <c r="H305">
        <v>32</v>
      </c>
      <c r="I305" s="7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0">
        <f t="shared" si="18"/>
        <v>42376.25</v>
      </c>
      <c r="O305" s="10">
        <f t="shared" si="19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 "/",)</f>
        <v>music</v>
      </c>
      <c r="T305" t="str">
        <v>indie rock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6"/>
        <v>5.4614285714285717</v>
      </c>
      <c r="G306" t="s">
        <v>20</v>
      </c>
      <c r="H306">
        <v>142</v>
      </c>
      <c r="I306" s="7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0">
        <f t="shared" si="18"/>
        <v>42589.208333333328</v>
      </c>
      <c r="O306" s="10">
        <f t="shared" si="19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 "/",)</f>
        <v>film &amp; video</v>
      </c>
      <c r="T306" t="str">
        <v>documentary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6"/>
        <v>2.8621428571428571</v>
      </c>
      <c r="G307" t="s">
        <v>20</v>
      </c>
      <c r="H307">
        <v>85</v>
      </c>
      <c r="I307" s="7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0">
        <f t="shared" si="18"/>
        <v>42448.208333333328</v>
      </c>
      <c r="O307" s="10">
        <f t="shared" si="19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 "/",)</f>
        <v>theater</v>
      </c>
      <c r="T307" t="str">
        <v>plays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7.9076923076923072E-2</v>
      </c>
      <c r="G308" t="s">
        <v>14</v>
      </c>
      <c r="H308">
        <v>7</v>
      </c>
      <c r="I308" s="7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0">
        <f t="shared" si="18"/>
        <v>42930.208333333328</v>
      </c>
      <c r="O308" s="10">
        <f t="shared" si="19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 "/",)</f>
        <v>theater</v>
      </c>
      <c r="T308" t="str">
        <v>plays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6"/>
        <v>1.3213677811550153</v>
      </c>
      <c r="G309" t="s">
        <v>20</v>
      </c>
      <c r="H309">
        <v>659</v>
      </c>
      <c r="I309" s="7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0">
        <f t="shared" si="18"/>
        <v>41066.208333333336</v>
      </c>
      <c r="O309" s="10">
        <f t="shared" si="19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 "/",)</f>
        <v>publishing</v>
      </c>
      <c r="T309" t="str">
        <v>fiction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6"/>
        <v>0.74077834179357027</v>
      </c>
      <c r="G310" t="s">
        <v>14</v>
      </c>
      <c r="H310">
        <v>803</v>
      </c>
      <c r="I310" s="7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0">
        <f t="shared" si="18"/>
        <v>40651.208333333336</v>
      </c>
      <c r="O310" s="10">
        <f t="shared" si="19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 "/",)</f>
        <v>theater</v>
      </c>
      <c r="T310" t="str">
        <v>plays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6"/>
        <v>0.75292682926829269</v>
      </c>
      <c r="G311" t="s">
        <v>74</v>
      </c>
      <c r="H311">
        <v>75</v>
      </c>
      <c r="I311" s="7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10">
        <f t="shared" si="18"/>
        <v>40807.208333333336</v>
      </c>
      <c r="O311" s="10">
        <f t="shared" si="19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 "/",)</f>
        <v>music</v>
      </c>
      <c r="T311" t="str">
        <v>indie rock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6"/>
        <v>0.20333333333333334</v>
      </c>
      <c r="G312" t="s">
        <v>14</v>
      </c>
      <c r="H312">
        <v>16</v>
      </c>
      <c r="I312" s="7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s="10">
        <f t="shared" si="18"/>
        <v>40277.208333333336</v>
      </c>
      <c r="O312" s="10">
        <f t="shared" si="19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 "/",)</f>
        <v>games</v>
      </c>
      <c r="T312" t="str">
        <v>video games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6"/>
        <v>2.0336507936507937</v>
      </c>
      <c r="G313" t="s">
        <v>20</v>
      </c>
      <c r="H313">
        <v>121</v>
      </c>
      <c r="I313" s="7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0">
        <f t="shared" si="18"/>
        <v>40590.25</v>
      </c>
      <c r="O313" s="10">
        <f t="shared" si="19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 "/",)</f>
        <v>theater</v>
      </c>
      <c r="T313" t="str">
        <v>plays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6"/>
        <v>3.1022842639593908</v>
      </c>
      <c r="G314" t="s">
        <v>20</v>
      </c>
      <c r="H314">
        <v>3742</v>
      </c>
      <c r="I314" s="7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0">
        <f t="shared" si="18"/>
        <v>41572.208333333336</v>
      </c>
      <c r="O314" s="10">
        <f t="shared" si="19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 "/",)</f>
        <v>theater</v>
      </c>
      <c r="T314" t="str">
        <v>plays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6"/>
        <v>3.9531818181818181</v>
      </c>
      <c r="G315" t="s">
        <v>20</v>
      </c>
      <c r="H315">
        <v>223</v>
      </c>
      <c r="I315" s="7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10">
        <f t="shared" si="18"/>
        <v>40966.25</v>
      </c>
      <c r="O315" s="10">
        <f t="shared" si="19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 "/",)</f>
        <v>music</v>
      </c>
      <c r="T315" t="str">
        <v>rock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6"/>
        <v>2.9471428571428571</v>
      </c>
      <c r="G316" t="s">
        <v>20</v>
      </c>
      <c r="H316">
        <v>133</v>
      </c>
      <c r="I316" s="7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0">
        <f t="shared" si="18"/>
        <v>43536.208333333328</v>
      </c>
      <c r="O316" s="10">
        <f t="shared" si="19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 "/",)</f>
        <v>film &amp; video</v>
      </c>
      <c r="T316" t="str">
        <v>documentary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6"/>
        <v>0.33894736842105261</v>
      </c>
      <c r="G317" t="s">
        <v>14</v>
      </c>
      <c r="H317">
        <v>31</v>
      </c>
      <c r="I317" s="7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0">
        <f t="shared" si="18"/>
        <v>41783.208333333336</v>
      </c>
      <c r="O317" s="10">
        <f t="shared" si="19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 "/",)</f>
        <v>theater</v>
      </c>
      <c r="T317" t="str">
        <v>plays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6"/>
        <v>0.66677083333333331</v>
      </c>
      <c r="G318" t="s">
        <v>14</v>
      </c>
      <c r="H318">
        <v>108</v>
      </c>
      <c r="I318" s="7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0">
        <f t="shared" si="18"/>
        <v>43788.25</v>
      </c>
      <c r="O318" s="10">
        <f t="shared" si="19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 "/",)</f>
        <v>food</v>
      </c>
      <c r="T318" t="str">
        <v>food trucks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6"/>
        <v>0.19227272727272726</v>
      </c>
      <c r="G319" t="s">
        <v>14</v>
      </c>
      <c r="H319">
        <v>30</v>
      </c>
      <c r="I319" s="7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10">
        <f t="shared" si="18"/>
        <v>42869.208333333328</v>
      </c>
      <c r="O319" s="10">
        <f t="shared" si="19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 "/",)</f>
        <v>theater</v>
      </c>
      <c r="T319" t="str">
        <v>plays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6"/>
        <v>0.15842105263157893</v>
      </c>
      <c r="G320" t="s">
        <v>14</v>
      </c>
      <c r="H320">
        <v>17</v>
      </c>
      <c r="I320" s="7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0">
        <f t="shared" si="18"/>
        <v>41684.25</v>
      </c>
      <c r="O320" s="10">
        <f t="shared" si="19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 "/",)</f>
        <v>music</v>
      </c>
      <c r="T320" t="str">
        <v>rock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6"/>
        <v>0.38702380952380955</v>
      </c>
      <c r="G321" t="s">
        <v>74</v>
      </c>
      <c r="H321">
        <v>64</v>
      </c>
      <c r="I321" s="7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0">
        <f t="shared" si="18"/>
        <v>40402.208333333336</v>
      </c>
      <c r="O321" s="10">
        <f t="shared" si="19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 "/",)</f>
        <v>technology</v>
      </c>
      <c r="T321" t="str">
        <v>web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6"/>
        <v>9.5876777251184833E-2</v>
      </c>
      <c r="G322" t="s">
        <v>14</v>
      </c>
      <c r="H322">
        <v>80</v>
      </c>
      <c r="I322" s="7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s="10">
        <f t="shared" si="18"/>
        <v>40673.208333333336</v>
      </c>
      <c r="O322" s="10">
        <f t="shared" si="19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 "/",)</f>
        <v>publishing</v>
      </c>
      <c r="T322" t="str">
        <v>fiction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20">E323/D323</f>
        <v>0.94144366197183094</v>
      </c>
      <c r="G323" t="s">
        <v>14</v>
      </c>
      <c r="H323">
        <v>2468</v>
      </c>
      <c r="I323" s="7">
        <f t="shared" ref="I323:I386" si="21">E323/H323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0">
        <f t="shared" ref="N323:N386" si="22">(((L323/60)/60)/24)+DATE(1970,1,1)</f>
        <v>40634.208333333336</v>
      </c>
      <c r="O323" s="10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 "/",)</f>
        <v>film &amp; video</v>
      </c>
      <c r="T323" t="str">
        <v>shorts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0"/>
        <v>1.6656234096692113</v>
      </c>
      <c r="G324" t="s">
        <v>20</v>
      </c>
      <c r="H324">
        <v>5168</v>
      </c>
      <c r="I324" s="7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0">
        <f t="shared" si="22"/>
        <v>40507.25</v>
      </c>
      <c r="O324" s="10">
        <f t="shared" si="23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 "/",)</f>
        <v>theater</v>
      </c>
      <c r="T324" t="str">
        <v>plays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0"/>
        <v>0.24134831460674158</v>
      </c>
      <c r="G325" t="s">
        <v>14</v>
      </c>
      <c r="H325">
        <v>26</v>
      </c>
      <c r="I325" s="7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0">
        <f t="shared" si="22"/>
        <v>41725.208333333336</v>
      </c>
      <c r="O325" s="10">
        <f t="shared" si="23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 "/",)</f>
        <v>film &amp; video</v>
      </c>
      <c r="T325" t="str">
        <v>documentary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0"/>
        <v>1.6405633802816901</v>
      </c>
      <c r="G326" t="s">
        <v>20</v>
      </c>
      <c r="H326">
        <v>307</v>
      </c>
      <c r="I326" s="7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0">
        <f t="shared" si="22"/>
        <v>42176.208333333328</v>
      </c>
      <c r="O326" s="10">
        <f t="shared" si="23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 "/",)</f>
        <v>theater</v>
      </c>
      <c r="T326" t="str">
        <v>plays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0"/>
        <v>0.90723076923076929</v>
      </c>
      <c r="G327" t="s">
        <v>14</v>
      </c>
      <c r="H327">
        <v>73</v>
      </c>
      <c r="I327" s="7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0">
        <f t="shared" si="22"/>
        <v>43267.208333333328</v>
      </c>
      <c r="O327" s="10">
        <f t="shared" si="23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 "/",)</f>
        <v>theater</v>
      </c>
      <c r="T327" t="str">
        <v>plays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0"/>
        <v>0.46194444444444444</v>
      </c>
      <c r="G328" t="s">
        <v>14</v>
      </c>
      <c r="H328">
        <v>128</v>
      </c>
      <c r="I328" s="7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0">
        <f t="shared" si="22"/>
        <v>42364.25</v>
      </c>
      <c r="O328" s="10">
        <f t="shared" si="23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 "/",)</f>
        <v>film &amp; video</v>
      </c>
      <c r="T328" t="str">
        <v>animation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0"/>
        <v>0.38538461538461538</v>
      </c>
      <c r="G329" t="s">
        <v>14</v>
      </c>
      <c r="H329">
        <v>33</v>
      </c>
      <c r="I329" s="7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0">
        <f t="shared" si="22"/>
        <v>43705.208333333328</v>
      </c>
      <c r="O329" s="10">
        <f t="shared" si="23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 "/",)</f>
        <v>theater</v>
      </c>
      <c r="T329" t="str">
        <v>plays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0"/>
        <v>1.3356231003039514</v>
      </c>
      <c r="G330" t="s">
        <v>20</v>
      </c>
      <c r="H330">
        <v>2441</v>
      </c>
      <c r="I330" s="7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0">
        <f t="shared" si="22"/>
        <v>43434.25</v>
      </c>
      <c r="O330" s="10">
        <f t="shared" si="23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 "/",)</f>
        <v>music</v>
      </c>
      <c r="T330" t="str">
        <v>rock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0"/>
        <v>0.22896588486140726</v>
      </c>
      <c r="G331" t="s">
        <v>47</v>
      </c>
      <c r="H331">
        <v>211</v>
      </c>
      <c r="I331" s="7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0">
        <f t="shared" si="22"/>
        <v>42716.25</v>
      </c>
      <c r="O331" s="10">
        <f t="shared" si="23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 "/",)</f>
        <v>games</v>
      </c>
      <c r="T331" t="str">
        <v>video games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0"/>
        <v>1.8495548961424333</v>
      </c>
      <c r="G332" t="s">
        <v>20</v>
      </c>
      <c r="H332">
        <v>1385</v>
      </c>
      <c r="I332" s="7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0">
        <f t="shared" si="22"/>
        <v>43077.25</v>
      </c>
      <c r="O332" s="10">
        <f t="shared" si="23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 "/",)</f>
        <v>film &amp; video</v>
      </c>
      <c r="T332" t="str">
        <v>documentary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0"/>
        <v>4.4372727272727275</v>
      </c>
      <c r="G333" t="s">
        <v>20</v>
      </c>
      <c r="H333">
        <v>190</v>
      </c>
      <c r="I333" s="7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0">
        <f t="shared" si="22"/>
        <v>40896.25</v>
      </c>
      <c r="O333" s="10">
        <f t="shared" si="23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 "/",)</f>
        <v>food</v>
      </c>
      <c r="T333" t="str">
        <v>food trucks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0"/>
        <v>1.999806763285024</v>
      </c>
      <c r="G334" t="s">
        <v>20</v>
      </c>
      <c r="H334">
        <v>470</v>
      </c>
      <c r="I334" s="7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0">
        <f t="shared" si="22"/>
        <v>41361.208333333336</v>
      </c>
      <c r="O334" s="10">
        <f t="shared" si="23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 "/",)</f>
        <v>technology</v>
      </c>
      <c r="T334" t="str">
        <v>wearables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0"/>
        <v>1.2395833333333333</v>
      </c>
      <c r="G335" t="s">
        <v>20</v>
      </c>
      <c r="H335">
        <v>253</v>
      </c>
      <c r="I335" s="7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0">
        <f t="shared" si="22"/>
        <v>43424.25</v>
      </c>
      <c r="O335" s="10">
        <f t="shared" si="23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 "/",)</f>
        <v>theater</v>
      </c>
      <c r="T335" t="str">
        <v>plays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0"/>
        <v>1.8661329305135952</v>
      </c>
      <c r="G336" t="s">
        <v>20</v>
      </c>
      <c r="H336">
        <v>1113</v>
      </c>
      <c r="I336" s="7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0">
        <f t="shared" si="22"/>
        <v>43110.25</v>
      </c>
      <c r="O336" s="10">
        <f t="shared" si="23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 "/",)</f>
        <v>music</v>
      </c>
      <c r="T336" t="str">
        <v>rock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0"/>
        <v>1.1428538550057536</v>
      </c>
      <c r="G337" t="s">
        <v>20</v>
      </c>
      <c r="H337">
        <v>2283</v>
      </c>
      <c r="I337" s="7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0">
        <f t="shared" si="22"/>
        <v>43784.25</v>
      </c>
      <c r="O337" s="10">
        <f t="shared" si="23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 "/",)</f>
        <v>music</v>
      </c>
      <c r="T337" t="str">
        <v>rock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0"/>
        <v>0.97032531824611035</v>
      </c>
      <c r="G338" t="s">
        <v>14</v>
      </c>
      <c r="H338">
        <v>1072</v>
      </c>
      <c r="I338" s="7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0">
        <f t="shared" si="22"/>
        <v>40527.25</v>
      </c>
      <c r="O338" s="10">
        <f t="shared" si="23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 "/",)</f>
        <v>music</v>
      </c>
      <c r="T338" t="str">
        <v>rock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0"/>
        <v>1.2281904761904763</v>
      </c>
      <c r="G339" t="s">
        <v>20</v>
      </c>
      <c r="H339">
        <v>1095</v>
      </c>
      <c r="I339" s="7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0">
        <f t="shared" si="22"/>
        <v>43780.25</v>
      </c>
      <c r="O339" s="10">
        <f t="shared" si="23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 "/",)</f>
        <v>theater</v>
      </c>
      <c r="T339" t="str">
        <v>plays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0"/>
        <v>1.7914326647564469</v>
      </c>
      <c r="G340" t="s">
        <v>20</v>
      </c>
      <c r="H340">
        <v>1690</v>
      </c>
      <c r="I340" s="7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0">
        <f t="shared" si="22"/>
        <v>40821.208333333336</v>
      </c>
      <c r="O340" s="10">
        <f t="shared" si="23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 "/",)</f>
        <v>theater</v>
      </c>
      <c r="T340" t="str">
        <v>plays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0"/>
        <v>0.79951577402787966</v>
      </c>
      <c r="G341" t="s">
        <v>74</v>
      </c>
      <c r="H341">
        <v>1297</v>
      </c>
      <c r="I341" s="7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0">
        <f t="shared" si="22"/>
        <v>42949.208333333328</v>
      </c>
      <c r="O341" s="10">
        <f t="shared" si="23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 "/",)</f>
        <v>theater</v>
      </c>
      <c r="T341" t="str">
        <v>plays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0"/>
        <v>0.94242587601078165</v>
      </c>
      <c r="G342" t="s">
        <v>14</v>
      </c>
      <c r="H342">
        <v>393</v>
      </c>
      <c r="I342" s="7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0">
        <f t="shared" si="22"/>
        <v>40889.25</v>
      </c>
      <c r="O342" s="10">
        <f t="shared" si="23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 "/",)</f>
        <v>photography</v>
      </c>
      <c r="T342" t="str">
        <v>photography books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0"/>
        <v>0.84669291338582675</v>
      </c>
      <c r="G343" t="s">
        <v>14</v>
      </c>
      <c r="H343">
        <v>1257</v>
      </c>
      <c r="I343" s="7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0">
        <f t="shared" si="22"/>
        <v>42244.208333333328</v>
      </c>
      <c r="O343" s="10">
        <f t="shared" si="23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 "/",)</f>
        <v>music</v>
      </c>
      <c r="T343" t="str">
        <v>indie rock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0"/>
        <v>0.66521920668058454</v>
      </c>
      <c r="G344" t="s">
        <v>14</v>
      </c>
      <c r="H344">
        <v>328</v>
      </c>
      <c r="I344" s="7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0">
        <f t="shared" si="22"/>
        <v>41475.208333333336</v>
      </c>
      <c r="O344" s="10">
        <f t="shared" si="23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 "/",)</f>
        <v>theater</v>
      </c>
      <c r="T344" t="str">
        <v>plays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0"/>
        <v>0.53922222222222227</v>
      </c>
      <c r="G345" t="s">
        <v>14</v>
      </c>
      <c r="H345">
        <v>147</v>
      </c>
      <c r="I345" s="7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0">
        <f t="shared" si="22"/>
        <v>41597.25</v>
      </c>
      <c r="O345" s="10">
        <f t="shared" si="23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 "/",)</f>
        <v>theater</v>
      </c>
      <c r="T345" t="str">
        <v>plays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0"/>
        <v>0.41983299595141699</v>
      </c>
      <c r="G346" t="s">
        <v>14</v>
      </c>
      <c r="H346">
        <v>830</v>
      </c>
      <c r="I346" s="7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0">
        <f t="shared" si="22"/>
        <v>43122.25</v>
      </c>
      <c r="O346" s="10">
        <f t="shared" si="23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 "/",)</f>
        <v>games</v>
      </c>
      <c r="T346" t="str">
        <v>video games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0"/>
        <v>0.14694796954314721</v>
      </c>
      <c r="G347" t="s">
        <v>14</v>
      </c>
      <c r="H347">
        <v>331</v>
      </c>
      <c r="I347" s="7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0">
        <f t="shared" si="22"/>
        <v>42194.208333333328</v>
      </c>
      <c r="O347" s="10">
        <f t="shared" si="23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 "/",)</f>
        <v>film &amp; video</v>
      </c>
      <c r="T347" t="str">
        <v>drama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0"/>
        <v>0.34475</v>
      </c>
      <c r="G348" t="s">
        <v>14</v>
      </c>
      <c r="H348">
        <v>25</v>
      </c>
      <c r="I348" s="7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0">
        <f t="shared" si="22"/>
        <v>42971.208333333328</v>
      </c>
      <c r="O348" s="10">
        <f t="shared" si="23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 "/",)</f>
        <v>music</v>
      </c>
      <c r="T348" t="str">
        <v>indie rock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0"/>
        <v>14.007777777777777</v>
      </c>
      <c r="G349" t="s">
        <v>20</v>
      </c>
      <c r="H349">
        <v>191</v>
      </c>
      <c r="I349" s="7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0">
        <f t="shared" si="22"/>
        <v>42046.25</v>
      </c>
      <c r="O349" s="10">
        <f t="shared" si="23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 "/",)</f>
        <v>technology</v>
      </c>
      <c r="T349" t="str">
        <v>web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0"/>
        <v>0.71770351758793971</v>
      </c>
      <c r="G350" t="s">
        <v>14</v>
      </c>
      <c r="H350">
        <v>3483</v>
      </c>
      <c r="I350" s="7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0">
        <f t="shared" si="22"/>
        <v>42782.25</v>
      </c>
      <c r="O350" s="10">
        <f t="shared" si="23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 "/",)</f>
        <v>food</v>
      </c>
      <c r="T350" t="str">
        <v>food trucks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0"/>
        <v>0.53074115044247783</v>
      </c>
      <c r="G351" t="s">
        <v>14</v>
      </c>
      <c r="H351">
        <v>923</v>
      </c>
      <c r="I351" s="7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0">
        <f t="shared" si="22"/>
        <v>42930.208333333328</v>
      </c>
      <c r="O351" s="10">
        <f t="shared" si="23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 "/",)</f>
        <v>theater</v>
      </c>
      <c r="T351" t="str">
        <v>plays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0"/>
        <v>0.05</v>
      </c>
      <c r="G352" t="s">
        <v>14</v>
      </c>
      <c r="H352">
        <v>1</v>
      </c>
      <c r="I352" s="7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10">
        <f t="shared" si="22"/>
        <v>42144.208333333328</v>
      </c>
      <c r="O352" s="10">
        <f t="shared" si="23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 "/",)</f>
        <v>music</v>
      </c>
      <c r="T352" t="str">
        <v>jazz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0"/>
        <v>1.2770715249662619</v>
      </c>
      <c r="G353" t="s">
        <v>20</v>
      </c>
      <c r="H353">
        <v>2013</v>
      </c>
      <c r="I353" s="7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0">
        <f t="shared" si="22"/>
        <v>42240.208333333328</v>
      </c>
      <c r="O353" s="10">
        <f t="shared" si="23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 "/",)</f>
        <v>music</v>
      </c>
      <c r="T353" t="str">
        <v>rock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0"/>
        <v>0.34892857142857142</v>
      </c>
      <c r="G354" t="s">
        <v>14</v>
      </c>
      <c r="H354">
        <v>33</v>
      </c>
      <c r="I354" s="7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0">
        <f t="shared" si="22"/>
        <v>42315.25</v>
      </c>
      <c r="O354" s="10">
        <f t="shared" si="23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 "/",)</f>
        <v>theater</v>
      </c>
      <c r="T354" t="str">
        <v>plays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0"/>
        <v>4.105982142857143</v>
      </c>
      <c r="G355" t="s">
        <v>20</v>
      </c>
      <c r="H355">
        <v>1703</v>
      </c>
      <c r="I355" s="7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0">
        <f t="shared" si="22"/>
        <v>43651.208333333328</v>
      </c>
      <c r="O355" s="10">
        <f t="shared" si="23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 "/",)</f>
        <v>theater</v>
      </c>
      <c r="T355" t="str">
        <v>plays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0"/>
        <v>1.2373770491803278</v>
      </c>
      <c r="G356" t="s">
        <v>20</v>
      </c>
      <c r="H356">
        <v>80</v>
      </c>
      <c r="I356" s="7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10">
        <f t="shared" si="22"/>
        <v>41520.208333333336</v>
      </c>
      <c r="O356" s="10">
        <f t="shared" si="23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 "/",)</f>
        <v>film &amp; video</v>
      </c>
      <c r="T356" t="str">
        <v>documentary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0"/>
        <v>0.58973684210526311</v>
      </c>
      <c r="G357" t="s">
        <v>47</v>
      </c>
      <c r="H357">
        <v>86</v>
      </c>
      <c r="I357" s="7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0">
        <f t="shared" si="22"/>
        <v>42757.25</v>
      </c>
      <c r="O357" s="10">
        <f t="shared" si="23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 "/",)</f>
        <v>technology</v>
      </c>
      <c r="T357" t="str">
        <v>wearables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0"/>
        <v>0.36892473118279567</v>
      </c>
      <c r="G358" t="s">
        <v>14</v>
      </c>
      <c r="H358">
        <v>40</v>
      </c>
      <c r="I358" s="7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0">
        <f t="shared" si="22"/>
        <v>40922.25</v>
      </c>
      <c r="O358" s="10">
        <f t="shared" si="23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 "/",)</f>
        <v>theater</v>
      </c>
      <c r="T358" t="str">
        <v>plays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0"/>
        <v>1.8491304347826087</v>
      </c>
      <c r="G359" t="s">
        <v>20</v>
      </c>
      <c r="H359">
        <v>41</v>
      </c>
      <c r="I359" s="7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0">
        <f t="shared" si="22"/>
        <v>42250.208333333328</v>
      </c>
      <c r="O359" s="10">
        <f t="shared" si="23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 "/",)</f>
        <v>games</v>
      </c>
      <c r="T359" t="str">
        <v>video games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0"/>
        <v>0.11814432989690722</v>
      </c>
      <c r="G360" t="s">
        <v>14</v>
      </c>
      <c r="H360">
        <v>23</v>
      </c>
      <c r="I360" s="7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0">
        <f t="shared" si="22"/>
        <v>43322.208333333328</v>
      </c>
      <c r="O360" s="10">
        <f t="shared" si="23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 "/",)</f>
        <v>photography</v>
      </c>
      <c r="T360" t="str">
        <v>photography books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0"/>
        <v>2.9870000000000001</v>
      </c>
      <c r="G361" t="s">
        <v>20</v>
      </c>
      <c r="H361">
        <v>187</v>
      </c>
      <c r="I361" s="7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0">
        <f t="shared" si="22"/>
        <v>40782.208333333336</v>
      </c>
      <c r="O361" s="10">
        <f t="shared" si="23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 "/",)</f>
        <v>film &amp; video</v>
      </c>
      <c r="T361" t="str">
        <v>animation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0"/>
        <v>2.2635175879396985</v>
      </c>
      <c r="G362" t="s">
        <v>20</v>
      </c>
      <c r="H362">
        <v>2875</v>
      </c>
      <c r="I362" s="7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0">
        <f t="shared" si="22"/>
        <v>40544.25</v>
      </c>
      <c r="O362" s="10">
        <f t="shared" si="23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 "/",)</f>
        <v>theater</v>
      </c>
      <c r="T362" t="str">
        <v>plays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0"/>
        <v>1.7356363636363636</v>
      </c>
      <c r="G363" t="s">
        <v>20</v>
      </c>
      <c r="H363">
        <v>88</v>
      </c>
      <c r="I363" s="7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0">
        <f t="shared" si="22"/>
        <v>43015.208333333328</v>
      </c>
      <c r="O363" s="10">
        <f t="shared" si="23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 "/",)</f>
        <v>theater</v>
      </c>
      <c r="T363" t="str">
        <v>plays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0"/>
        <v>3.7175675675675675</v>
      </c>
      <c r="G364" t="s">
        <v>20</v>
      </c>
      <c r="H364">
        <v>191</v>
      </c>
      <c r="I364" s="7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0">
        <f t="shared" si="22"/>
        <v>40570.25</v>
      </c>
      <c r="O364" s="10">
        <f t="shared" si="23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 "/",)</f>
        <v>music</v>
      </c>
      <c r="T364" t="str">
        <v>rock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0"/>
        <v>1.601923076923077</v>
      </c>
      <c r="G365" t="s">
        <v>20</v>
      </c>
      <c r="H365">
        <v>139</v>
      </c>
      <c r="I365" s="7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0">
        <f t="shared" si="22"/>
        <v>40904.25</v>
      </c>
      <c r="O365" s="10">
        <f t="shared" si="23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 "/",)</f>
        <v>music</v>
      </c>
      <c r="T365" t="str">
        <v>rock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0"/>
        <v>16.163333333333334</v>
      </c>
      <c r="G366" t="s">
        <v>20</v>
      </c>
      <c r="H366">
        <v>186</v>
      </c>
      <c r="I366" s="7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0">
        <f t="shared" si="22"/>
        <v>43164.25</v>
      </c>
      <c r="O366" s="10">
        <f t="shared" si="23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 "/",)</f>
        <v>music</v>
      </c>
      <c r="T366" t="str">
        <v>indie rock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0"/>
        <v>7.3343749999999996</v>
      </c>
      <c r="G367" t="s">
        <v>20</v>
      </c>
      <c r="H367">
        <v>112</v>
      </c>
      <c r="I367" s="7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0">
        <f t="shared" si="22"/>
        <v>42733.25</v>
      </c>
      <c r="O367" s="10">
        <f t="shared" si="23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 "/",)</f>
        <v>theater</v>
      </c>
      <c r="T367" t="str">
        <v>plays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0"/>
        <v>5.9211111111111112</v>
      </c>
      <c r="G368" t="s">
        <v>20</v>
      </c>
      <c r="H368">
        <v>101</v>
      </c>
      <c r="I368" s="7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0">
        <f t="shared" si="22"/>
        <v>40546.25</v>
      </c>
      <c r="O368" s="10">
        <f t="shared" si="23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 "/",)</f>
        <v>theater</v>
      </c>
      <c r="T368" t="str">
        <v>plays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0"/>
        <v>0.18888888888888888</v>
      </c>
      <c r="G369" t="s">
        <v>14</v>
      </c>
      <c r="H369">
        <v>75</v>
      </c>
      <c r="I369" s="7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0">
        <f t="shared" si="22"/>
        <v>41930.208333333336</v>
      </c>
      <c r="O369" s="10">
        <f t="shared" si="23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 "/",)</f>
        <v>theater</v>
      </c>
      <c r="T369" t="str">
        <v>plays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0"/>
        <v>2.7680769230769231</v>
      </c>
      <c r="G370" t="s">
        <v>20</v>
      </c>
      <c r="H370">
        <v>206</v>
      </c>
      <c r="I370" s="7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0">
        <f t="shared" si="22"/>
        <v>40464.208333333336</v>
      </c>
      <c r="O370" s="10">
        <f t="shared" si="23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 "/",)</f>
        <v>film &amp; video</v>
      </c>
      <c r="T370" t="str">
        <v>documentary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0"/>
        <v>2.730185185185185</v>
      </c>
      <c r="G371" t="s">
        <v>20</v>
      </c>
      <c r="H371">
        <v>154</v>
      </c>
      <c r="I371" s="7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0">
        <f t="shared" si="22"/>
        <v>41308.25</v>
      </c>
      <c r="O371" s="10">
        <f t="shared" si="23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 "/",)</f>
        <v>film &amp; video</v>
      </c>
      <c r="T371" t="str">
        <v>television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0"/>
        <v>1.593633125556545</v>
      </c>
      <c r="G372" t="s">
        <v>20</v>
      </c>
      <c r="H372">
        <v>5966</v>
      </c>
      <c r="I372" s="7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0">
        <f t="shared" si="22"/>
        <v>43570.208333333328</v>
      </c>
      <c r="O372" s="10">
        <f t="shared" si="23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 "/",)</f>
        <v>theater</v>
      </c>
      <c r="T372" t="str">
        <v>plays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0"/>
        <v>0.67869978858350954</v>
      </c>
      <c r="G373" t="s">
        <v>14</v>
      </c>
      <c r="H373">
        <v>2176</v>
      </c>
      <c r="I373" s="7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0">
        <f t="shared" si="22"/>
        <v>42043.25</v>
      </c>
      <c r="O373" s="10">
        <f t="shared" si="23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 "/",)</f>
        <v>theater</v>
      </c>
      <c r="T373" t="str">
        <v>plays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0"/>
        <v>15.915555555555555</v>
      </c>
      <c r="G374" t="s">
        <v>20</v>
      </c>
      <c r="H374">
        <v>169</v>
      </c>
      <c r="I374" s="7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0">
        <f t="shared" si="22"/>
        <v>42012.25</v>
      </c>
      <c r="O374" s="10">
        <f t="shared" si="23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 "/",)</f>
        <v>film &amp; video</v>
      </c>
      <c r="T374" t="str">
        <v>documentary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0"/>
        <v>7.3018222222222224</v>
      </c>
      <c r="G375" t="s">
        <v>20</v>
      </c>
      <c r="H375">
        <v>2106</v>
      </c>
      <c r="I375" s="7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0">
        <f t="shared" si="22"/>
        <v>42964.208333333328</v>
      </c>
      <c r="O375" s="10">
        <f t="shared" si="23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 "/",)</f>
        <v>theater</v>
      </c>
      <c r="T375" t="str">
        <v>plays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0"/>
        <v>0.13185782556750297</v>
      </c>
      <c r="G376" t="s">
        <v>14</v>
      </c>
      <c r="H376">
        <v>441</v>
      </c>
      <c r="I376" s="7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0">
        <f t="shared" si="22"/>
        <v>43476.25</v>
      </c>
      <c r="O376" s="10">
        <f t="shared" si="23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 "/",)</f>
        <v>film &amp; video</v>
      </c>
      <c r="T376" t="str">
        <v>documentary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0"/>
        <v>0.54777777777777781</v>
      </c>
      <c r="G377" t="s">
        <v>14</v>
      </c>
      <c r="H377">
        <v>25</v>
      </c>
      <c r="I377" s="7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10">
        <f t="shared" si="22"/>
        <v>42293.208333333328</v>
      </c>
      <c r="O377" s="10">
        <f t="shared" si="23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 "/",)</f>
        <v>music</v>
      </c>
      <c r="T377" t="str">
        <v>indie rock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0"/>
        <v>3.6102941176470589</v>
      </c>
      <c r="G378" t="s">
        <v>20</v>
      </c>
      <c r="H378">
        <v>131</v>
      </c>
      <c r="I378" s="7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0">
        <f t="shared" si="22"/>
        <v>41826.208333333336</v>
      </c>
      <c r="O378" s="10">
        <f t="shared" si="23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 "/",)</f>
        <v>music</v>
      </c>
      <c r="T378" t="str">
        <v>rock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0"/>
        <v>0.10257545271629778</v>
      </c>
      <c r="G379" t="s">
        <v>14</v>
      </c>
      <c r="H379">
        <v>127</v>
      </c>
      <c r="I379" s="7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0">
        <f t="shared" si="22"/>
        <v>43760.208333333328</v>
      </c>
      <c r="O379" s="10">
        <f t="shared" si="23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 "/",)</f>
        <v>theater</v>
      </c>
      <c r="T379" t="str">
        <v>plays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0"/>
        <v>0.13962962962962963</v>
      </c>
      <c r="G380" t="s">
        <v>14</v>
      </c>
      <c r="H380">
        <v>355</v>
      </c>
      <c r="I380" s="7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0">
        <f t="shared" si="22"/>
        <v>43241.208333333328</v>
      </c>
      <c r="O380" s="10">
        <f t="shared" si="23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 "/",)</f>
        <v>film &amp; video</v>
      </c>
      <c r="T380" t="str">
        <v>documentary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0"/>
        <v>0.40444444444444444</v>
      </c>
      <c r="G381" t="s">
        <v>14</v>
      </c>
      <c r="H381">
        <v>44</v>
      </c>
      <c r="I381" s="7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0">
        <f t="shared" si="22"/>
        <v>40843.208333333336</v>
      </c>
      <c r="O381" s="10">
        <f t="shared" si="23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 "/",)</f>
        <v>theater</v>
      </c>
      <c r="T381" t="str">
        <v>plays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0"/>
        <v>1.6032</v>
      </c>
      <c r="G382" t="s">
        <v>20</v>
      </c>
      <c r="H382">
        <v>84</v>
      </c>
      <c r="I382" s="7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0">
        <f t="shared" si="22"/>
        <v>41448.208333333336</v>
      </c>
      <c r="O382" s="10">
        <f t="shared" si="23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 "/",)</f>
        <v>theater</v>
      </c>
      <c r="T382" t="str">
        <v>plays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0"/>
        <v>1.8394339622641509</v>
      </c>
      <c r="G383" t="s">
        <v>20</v>
      </c>
      <c r="H383">
        <v>155</v>
      </c>
      <c r="I383" s="7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0">
        <f t="shared" si="22"/>
        <v>42163.208333333328</v>
      </c>
      <c r="O383" s="10">
        <f t="shared" si="23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 "/",)</f>
        <v>theater</v>
      </c>
      <c r="T383" t="str">
        <v>plays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0"/>
        <v>0.63769230769230767</v>
      </c>
      <c r="G384" t="s">
        <v>14</v>
      </c>
      <c r="H384">
        <v>67</v>
      </c>
      <c r="I384" s="7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0">
        <f t="shared" si="22"/>
        <v>43024.208333333328</v>
      </c>
      <c r="O384" s="10">
        <f t="shared" si="23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 "/",)</f>
        <v>photography</v>
      </c>
      <c r="T384" t="str">
        <v>photography books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0"/>
        <v>2.2538095238095237</v>
      </c>
      <c r="G385" t="s">
        <v>20</v>
      </c>
      <c r="H385">
        <v>189</v>
      </c>
      <c r="I385" s="7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0">
        <f t="shared" si="22"/>
        <v>43509.25</v>
      </c>
      <c r="O385" s="10">
        <f t="shared" si="23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 "/",)</f>
        <v>food</v>
      </c>
      <c r="T385" t="str">
        <v>food trucks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0"/>
        <v>1.7200961538461539</v>
      </c>
      <c r="G386" t="s">
        <v>20</v>
      </c>
      <c r="H386">
        <v>4799</v>
      </c>
      <c r="I386" s="7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0">
        <f t="shared" si="22"/>
        <v>42776.25</v>
      </c>
      <c r="O386" s="10">
        <f t="shared" si="23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 "/",)</f>
        <v>film &amp; video</v>
      </c>
      <c r="T386" t="str">
        <v>documentary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24">E387/D387</f>
        <v>1.4616709511568124</v>
      </c>
      <c r="G387" t="s">
        <v>20</v>
      </c>
      <c r="H387">
        <v>1137</v>
      </c>
      <c r="I387" s="7">
        <f t="shared" ref="I387:I450" si="25">E387/H387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0">
        <f t="shared" ref="N387:N450" si="26">(((L387/60)/60)/24)+DATE(1970,1,1)</f>
        <v>43553.208333333328</v>
      </c>
      <c r="O387" s="10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 "/",)</f>
        <v>publishing</v>
      </c>
      <c r="T387" t="str">
        <v>nonfiction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4"/>
        <v>0.76423616236162362</v>
      </c>
      <c r="G388" t="s">
        <v>14</v>
      </c>
      <c r="H388">
        <v>1068</v>
      </c>
      <c r="I388" s="7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0">
        <f t="shared" si="26"/>
        <v>40355.208333333336</v>
      </c>
      <c r="O388" s="10">
        <f t="shared" si="27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 "/",)</f>
        <v>theater</v>
      </c>
      <c r="T388" t="str">
        <v>plays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4"/>
        <v>0.39261467889908258</v>
      </c>
      <c r="G389" t="s">
        <v>14</v>
      </c>
      <c r="H389">
        <v>424</v>
      </c>
      <c r="I389" s="7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0">
        <f t="shared" si="26"/>
        <v>41072.208333333336</v>
      </c>
      <c r="O389" s="10">
        <f t="shared" si="27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 "/",)</f>
        <v>technology</v>
      </c>
      <c r="T389" t="str">
        <v>wearables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4"/>
        <v>0.11270034843205574</v>
      </c>
      <c r="G390" t="s">
        <v>74</v>
      </c>
      <c r="H390">
        <v>145</v>
      </c>
      <c r="I390" s="7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0">
        <f t="shared" si="26"/>
        <v>40912.25</v>
      </c>
      <c r="O390" s="10">
        <f t="shared" si="27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 "/",)</f>
        <v>music</v>
      </c>
      <c r="T390" t="str">
        <v>indie rock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4"/>
        <v>1.2211084337349398</v>
      </c>
      <c r="G391" t="s">
        <v>20</v>
      </c>
      <c r="H391">
        <v>1152</v>
      </c>
      <c r="I391" s="7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0">
        <f t="shared" si="26"/>
        <v>40479.208333333336</v>
      </c>
      <c r="O391" s="10">
        <f t="shared" si="27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 "/",)</f>
        <v>theater</v>
      </c>
      <c r="T391" t="str">
        <v>plays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4"/>
        <v>1.8654166666666667</v>
      </c>
      <c r="G392" t="s">
        <v>20</v>
      </c>
      <c r="H392">
        <v>50</v>
      </c>
      <c r="I392" s="7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10">
        <f t="shared" si="26"/>
        <v>41530.208333333336</v>
      </c>
      <c r="O392" s="10">
        <f t="shared" si="27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 "/",)</f>
        <v>photography</v>
      </c>
      <c r="T392" t="str">
        <v>photography books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7.27317880794702E-2</v>
      </c>
      <c r="G393" t="s">
        <v>14</v>
      </c>
      <c r="H393">
        <v>151</v>
      </c>
      <c r="I393" s="7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0">
        <f t="shared" si="26"/>
        <v>41653.25</v>
      </c>
      <c r="O393" s="10">
        <f t="shared" si="27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 "/",)</f>
        <v>publishing</v>
      </c>
      <c r="T393" t="str">
        <v>nonfiction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4"/>
        <v>0.65642371234207963</v>
      </c>
      <c r="G394" t="s">
        <v>14</v>
      </c>
      <c r="H394">
        <v>1608</v>
      </c>
      <c r="I394" s="7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0">
        <f t="shared" si="26"/>
        <v>40549.25</v>
      </c>
      <c r="O394" s="10">
        <f t="shared" si="27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 "/",)</f>
        <v>technology</v>
      </c>
      <c r="T394" t="str">
        <v>wearables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4"/>
        <v>2.2896178343949045</v>
      </c>
      <c r="G395" t="s">
        <v>20</v>
      </c>
      <c r="H395">
        <v>3059</v>
      </c>
      <c r="I395" s="7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0">
        <f t="shared" si="26"/>
        <v>42933.208333333328</v>
      </c>
      <c r="O395" s="10">
        <f t="shared" si="27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 "/",)</f>
        <v>music</v>
      </c>
      <c r="T395" t="str">
        <v>jazz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4"/>
        <v>4.6937499999999996</v>
      </c>
      <c r="G396" t="s">
        <v>20</v>
      </c>
      <c r="H396">
        <v>34</v>
      </c>
      <c r="I396" s="7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0">
        <f t="shared" si="26"/>
        <v>41484.208333333336</v>
      </c>
      <c r="O396" s="10">
        <f t="shared" si="27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 "/",)</f>
        <v>film &amp; video</v>
      </c>
      <c r="T396" t="str">
        <v>documentary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4"/>
        <v>1.3011267605633803</v>
      </c>
      <c r="G397" t="s">
        <v>20</v>
      </c>
      <c r="H397">
        <v>220</v>
      </c>
      <c r="I397" s="7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0">
        <f t="shared" si="26"/>
        <v>40885.25</v>
      </c>
      <c r="O397" s="10">
        <f t="shared" si="27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 "/",)</f>
        <v>theater</v>
      </c>
      <c r="T397" t="str">
        <v>plays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4"/>
        <v>1.6705422993492407</v>
      </c>
      <c r="G398" t="s">
        <v>20</v>
      </c>
      <c r="H398">
        <v>1604</v>
      </c>
      <c r="I398" s="7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0">
        <f t="shared" si="26"/>
        <v>43378.208333333328</v>
      </c>
      <c r="O398" s="10">
        <f t="shared" si="27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 "/",)</f>
        <v>film &amp; video</v>
      </c>
      <c r="T398" t="str">
        <v>drama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4"/>
        <v>1.738641975308642</v>
      </c>
      <c r="G399" t="s">
        <v>20</v>
      </c>
      <c r="H399">
        <v>454</v>
      </c>
      <c r="I399" s="7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0">
        <f t="shared" si="26"/>
        <v>41417.208333333336</v>
      </c>
      <c r="O399" s="10">
        <f t="shared" si="27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 "/",)</f>
        <v>music</v>
      </c>
      <c r="T399" t="str">
        <v>rock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4"/>
        <v>7.1776470588235295</v>
      </c>
      <c r="G400" t="s">
        <v>20</v>
      </c>
      <c r="H400">
        <v>123</v>
      </c>
      <c r="I400" s="7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0">
        <f t="shared" si="26"/>
        <v>43228.208333333328</v>
      </c>
      <c r="O400" s="10">
        <f t="shared" si="27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 "/",)</f>
        <v>film &amp; video</v>
      </c>
      <c r="T400" t="str">
        <v>animation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4"/>
        <v>0.63850976361767731</v>
      </c>
      <c r="G401" t="s">
        <v>14</v>
      </c>
      <c r="H401">
        <v>941</v>
      </c>
      <c r="I401" s="7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0">
        <f t="shared" si="26"/>
        <v>40576.25</v>
      </c>
      <c r="O401" s="10">
        <f t="shared" si="27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 "/",)</f>
        <v>music</v>
      </c>
      <c r="T401" t="str">
        <v>indie rock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4"/>
        <v>0.02</v>
      </c>
      <c r="G402" t="s">
        <v>14</v>
      </c>
      <c r="H402">
        <v>1</v>
      </c>
      <c r="I402" s="7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10">
        <f t="shared" si="26"/>
        <v>41502.208333333336</v>
      </c>
      <c r="O402" s="10">
        <f t="shared" si="27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 "/",)</f>
        <v>photography</v>
      </c>
      <c r="T402" t="str">
        <v>photography books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4"/>
        <v>15.302222222222222</v>
      </c>
      <c r="G403" t="s">
        <v>20</v>
      </c>
      <c r="H403">
        <v>299</v>
      </c>
      <c r="I403" s="7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0">
        <f t="shared" si="26"/>
        <v>43765.208333333328</v>
      </c>
      <c r="O403" s="10">
        <f t="shared" si="27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 "/",)</f>
        <v>theater</v>
      </c>
      <c r="T403" t="str">
        <v>plays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4"/>
        <v>0.40356164383561643</v>
      </c>
      <c r="G404" t="s">
        <v>14</v>
      </c>
      <c r="H404">
        <v>40</v>
      </c>
      <c r="I404" s="7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0">
        <f t="shared" si="26"/>
        <v>40914.25</v>
      </c>
      <c r="O404" s="10">
        <f t="shared" si="27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 "/",)</f>
        <v>film &amp; video</v>
      </c>
      <c r="T404" t="str">
        <v>shorts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4"/>
        <v>0.86220633299284988</v>
      </c>
      <c r="G405" t="s">
        <v>14</v>
      </c>
      <c r="H405">
        <v>3015</v>
      </c>
      <c r="I405" s="7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0">
        <f t="shared" si="26"/>
        <v>40310.208333333336</v>
      </c>
      <c r="O405" s="10">
        <f t="shared" si="27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 "/",)</f>
        <v>theater</v>
      </c>
      <c r="T405" t="str">
        <v>plays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4"/>
        <v>3.1558486707566464</v>
      </c>
      <c r="G406" t="s">
        <v>20</v>
      </c>
      <c r="H406">
        <v>2237</v>
      </c>
      <c r="I406" s="7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0">
        <f t="shared" si="26"/>
        <v>43053.25</v>
      </c>
      <c r="O406" s="10">
        <f t="shared" si="27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 "/",)</f>
        <v>theater</v>
      </c>
      <c r="T406" t="str">
        <v>plays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4"/>
        <v>0.89618243243243245</v>
      </c>
      <c r="G407" t="s">
        <v>14</v>
      </c>
      <c r="H407">
        <v>435</v>
      </c>
      <c r="I407" s="7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0">
        <f t="shared" si="26"/>
        <v>43255.208333333328</v>
      </c>
      <c r="O407" s="10">
        <f t="shared" si="27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 "/",)</f>
        <v>theater</v>
      </c>
      <c r="T407" t="str">
        <v>plays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4"/>
        <v>1.8214503816793892</v>
      </c>
      <c r="G408" t="s">
        <v>20</v>
      </c>
      <c r="H408">
        <v>645</v>
      </c>
      <c r="I408" s="7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0">
        <f t="shared" si="26"/>
        <v>41304.25</v>
      </c>
      <c r="O408" s="10">
        <f t="shared" si="27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 "/",)</f>
        <v>film &amp; video</v>
      </c>
      <c r="T408" t="str">
        <v>documentary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4"/>
        <v>3.5588235294117645</v>
      </c>
      <c r="G409" t="s">
        <v>20</v>
      </c>
      <c r="H409">
        <v>484</v>
      </c>
      <c r="I409" s="7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10">
        <f t="shared" si="26"/>
        <v>43751.208333333328</v>
      </c>
      <c r="O409" s="10">
        <f t="shared" si="27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 "/",)</f>
        <v>theater</v>
      </c>
      <c r="T409" t="str">
        <v>plays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4"/>
        <v>1.3183695652173912</v>
      </c>
      <c r="G410" t="s">
        <v>20</v>
      </c>
      <c r="H410">
        <v>154</v>
      </c>
      <c r="I410" s="7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0">
        <f t="shared" si="26"/>
        <v>42541.208333333328</v>
      </c>
      <c r="O410" s="10">
        <f t="shared" si="27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 "/",)</f>
        <v>film &amp; video</v>
      </c>
      <c r="T410" t="str">
        <v>documentary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4"/>
        <v>0.46315634218289087</v>
      </c>
      <c r="G411" t="s">
        <v>14</v>
      </c>
      <c r="H411">
        <v>714</v>
      </c>
      <c r="I411" s="7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0">
        <f t="shared" si="26"/>
        <v>42843.208333333328</v>
      </c>
      <c r="O411" s="10">
        <f t="shared" si="27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 "/",)</f>
        <v>music</v>
      </c>
      <c r="T411" t="str">
        <v>rock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4"/>
        <v>0.36132726089785294</v>
      </c>
      <c r="G412" t="s">
        <v>47</v>
      </c>
      <c r="H412">
        <v>1111</v>
      </c>
      <c r="I412" s="7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0">
        <f t="shared" si="26"/>
        <v>42122.208333333328</v>
      </c>
      <c r="O412" s="10">
        <f t="shared" si="27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 "/",)</f>
        <v>games</v>
      </c>
      <c r="T412" t="str">
        <v>mobile games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4"/>
        <v>1.0462820512820512</v>
      </c>
      <c r="G413" t="s">
        <v>20</v>
      </c>
      <c r="H413">
        <v>82</v>
      </c>
      <c r="I413" s="7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0">
        <f t="shared" si="26"/>
        <v>42884.208333333328</v>
      </c>
      <c r="O413" s="10">
        <f t="shared" si="27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 "/",)</f>
        <v>theater</v>
      </c>
      <c r="T413" t="str">
        <v>plays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4"/>
        <v>6.6885714285714286</v>
      </c>
      <c r="G414" t="s">
        <v>20</v>
      </c>
      <c r="H414">
        <v>134</v>
      </c>
      <c r="I414" s="7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0">
        <f t="shared" si="26"/>
        <v>41642.25</v>
      </c>
      <c r="O414" s="10">
        <f t="shared" si="27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 "/",)</f>
        <v>publishing</v>
      </c>
      <c r="T414" t="str">
        <v>fiction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4"/>
        <v>0.62072823218997364</v>
      </c>
      <c r="G415" t="s">
        <v>47</v>
      </c>
      <c r="H415">
        <v>1089</v>
      </c>
      <c r="I415" s="7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0">
        <f t="shared" si="26"/>
        <v>43431.25</v>
      </c>
      <c r="O415" s="10">
        <f t="shared" si="27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 "/",)</f>
        <v>film &amp; video</v>
      </c>
      <c r="T415" t="str">
        <v>animation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4"/>
        <v>0.84699787460148779</v>
      </c>
      <c r="G416" t="s">
        <v>14</v>
      </c>
      <c r="H416">
        <v>5497</v>
      </c>
      <c r="I416" s="7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0">
        <f t="shared" si="26"/>
        <v>40288.208333333336</v>
      </c>
      <c r="O416" s="10">
        <f t="shared" si="27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 "/",)</f>
        <v>food</v>
      </c>
      <c r="T416" t="str">
        <v>food trucks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4"/>
        <v>0.11059030837004405</v>
      </c>
      <c r="G417" t="s">
        <v>14</v>
      </c>
      <c r="H417">
        <v>418</v>
      </c>
      <c r="I417" s="7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0">
        <f t="shared" si="26"/>
        <v>40921.25</v>
      </c>
      <c r="O417" s="10">
        <f t="shared" si="27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 "/",)</f>
        <v>theater</v>
      </c>
      <c r="T417" t="str">
        <v>plays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4"/>
        <v>0.43838781575037145</v>
      </c>
      <c r="G418" t="s">
        <v>14</v>
      </c>
      <c r="H418">
        <v>1439</v>
      </c>
      <c r="I418" s="7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0">
        <f t="shared" si="26"/>
        <v>40560.25</v>
      </c>
      <c r="O418" s="10">
        <f t="shared" si="27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 "/",)</f>
        <v>film &amp; video</v>
      </c>
      <c r="T418" t="str">
        <v>documentary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4"/>
        <v>0.55470588235294116</v>
      </c>
      <c r="G419" t="s">
        <v>14</v>
      </c>
      <c r="H419">
        <v>15</v>
      </c>
      <c r="I419" s="7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0">
        <f t="shared" si="26"/>
        <v>43407.208333333328</v>
      </c>
      <c r="O419" s="10">
        <f t="shared" si="27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 "/",)</f>
        <v>theater</v>
      </c>
      <c r="T419" t="str">
        <v>plays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4"/>
        <v>0.57399511301160655</v>
      </c>
      <c r="G420" t="s">
        <v>14</v>
      </c>
      <c r="H420">
        <v>1999</v>
      </c>
      <c r="I420" s="7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0">
        <f t="shared" si="26"/>
        <v>41035.208333333336</v>
      </c>
      <c r="O420" s="10">
        <f t="shared" si="27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 "/",)</f>
        <v>film &amp; video</v>
      </c>
      <c r="T420" t="str">
        <v>documentary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4"/>
        <v>1.2343497363796134</v>
      </c>
      <c r="G421" t="s">
        <v>20</v>
      </c>
      <c r="H421">
        <v>5203</v>
      </c>
      <c r="I421" s="7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0">
        <f t="shared" si="26"/>
        <v>40899.25</v>
      </c>
      <c r="O421" s="10">
        <f t="shared" si="27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 "/",)</f>
        <v>technology</v>
      </c>
      <c r="T421" t="str">
        <v>web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4"/>
        <v>1.2846</v>
      </c>
      <c r="G422" t="s">
        <v>20</v>
      </c>
      <c r="H422">
        <v>94</v>
      </c>
      <c r="I422" s="7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0">
        <f t="shared" si="26"/>
        <v>42911.208333333328</v>
      </c>
      <c r="O422" s="10">
        <f t="shared" si="27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 "/",)</f>
        <v>theater</v>
      </c>
      <c r="T422" t="str">
        <v>plays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4"/>
        <v>0.63989361702127656</v>
      </c>
      <c r="G423" t="s">
        <v>14</v>
      </c>
      <c r="H423">
        <v>118</v>
      </c>
      <c r="I423" s="7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0">
        <f t="shared" si="26"/>
        <v>42915.208333333328</v>
      </c>
      <c r="O423" s="10">
        <f t="shared" si="27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 "/",)</f>
        <v>technology</v>
      </c>
      <c r="T423" t="str">
        <v>wearables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4"/>
        <v>1.2729885057471264</v>
      </c>
      <c r="G424" t="s">
        <v>20</v>
      </c>
      <c r="H424">
        <v>205</v>
      </c>
      <c r="I424" s="7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0">
        <f t="shared" si="26"/>
        <v>40285.208333333336</v>
      </c>
      <c r="O424" s="10">
        <f t="shared" si="27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 "/",)</f>
        <v>theater</v>
      </c>
      <c r="T424" t="str">
        <v>plays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4"/>
        <v>0.10638024357239513</v>
      </c>
      <c r="G425" t="s">
        <v>14</v>
      </c>
      <c r="H425">
        <v>162</v>
      </c>
      <c r="I425" s="7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0">
        <f t="shared" si="26"/>
        <v>40808.208333333336</v>
      </c>
      <c r="O425" s="10">
        <f t="shared" si="27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 "/",)</f>
        <v>food</v>
      </c>
      <c r="T425" t="str">
        <v>food trucks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4"/>
        <v>0.40470588235294119</v>
      </c>
      <c r="G426" t="s">
        <v>14</v>
      </c>
      <c r="H426">
        <v>83</v>
      </c>
      <c r="I426" s="7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0">
        <f t="shared" si="26"/>
        <v>43208.208333333328</v>
      </c>
      <c r="O426" s="10">
        <f t="shared" si="27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 "/",)</f>
        <v>music</v>
      </c>
      <c r="T426" t="str">
        <v>indie rock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4"/>
        <v>2.8766666666666665</v>
      </c>
      <c r="G427" t="s">
        <v>20</v>
      </c>
      <c r="H427">
        <v>92</v>
      </c>
      <c r="I427" s="7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0">
        <f t="shared" si="26"/>
        <v>42213.208333333328</v>
      </c>
      <c r="O427" s="10">
        <f t="shared" si="27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 "/",)</f>
        <v>photography</v>
      </c>
      <c r="T427" t="str">
        <v>photography books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4"/>
        <v>5.7294444444444448</v>
      </c>
      <c r="G428" t="s">
        <v>20</v>
      </c>
      <c r="H428">
        <v>219</v>
      </c>
      <c r="I428" s="7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0">
        <f t="shared" si="26"/>
        <v>41332.25</v>
      </c>
      <c r="O428" s="10">
        <f t="shared" si="27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 "/",)</f>
        <v>theater</v>
      </c>
      <c r="T428" t="str">
        <v>plays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4"/>
        <v>1.1290429799426933</v>
      </c>
      <c r="G429" t="s">
        <v>20</v>
      </c>
      <c r="H429">
        <v>2526</v>
      </c>
      <c r="I429" s="7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0">
        <f t="shared" si="26"/>
        <v>41895.208333333336</v>
      </c>
      <c r="O429" s="10">
        <f t="shared" si="27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 "/",)</f>
        <v>theater</v>
      </c>
      <c r="T429" t="str">
        <v>plays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4"/>
        <v>0.46387573964497042</v>
      </c>
      <c r="G430" t="s">
        <v>14</v>
      </c>
      <c r="H430">
        <v>747</v>
      </c>
      <c r="I430" s="7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0">
        <f t="shared" si="26"/>
        <v>40585.25</v>
      </c>
      <c r="O430" s="10">
        <f t="shared" si="27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 "/",)</f>
        <v>film &amp; video</v>
      </c>
      <c r="T430" t="str">
        <v>animation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4"/>
        <v>0.90675916230366493</v>
      </c>
      <c r="G431" t="s">
        <v>74</v>
      </c>
      <c r="H431">
        <v>2138</v>
      </c>
      <c r="I431" s="7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0">
        <f t="shared" si="26"/>
        <v>41680.25</v>
      </c>
      <c r="O431" s="10">
        <f t="shared" si="27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 "/",)</f>
        <v>photography</v>
      </c>
      <c r="T431" t="str">
        <v>photography books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4"/>
        <v>0.67740740740740746</v>
      </c>
      <c r="G432" t="s">
        <v>14</v>
      </c>
      <c r="H432">
        <v>84</v>
      </c>
      <c r="I432" s="7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0">
        <f t="shared" si="26"/>
        <v>43737.208333333328</v>
      </c>
      <c r="O432" s="10">
        <f t="shared" si="27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 "/",)</f>
        <v>theater</v>
      </c>
      <c r="T432" t="str">
        <v>plays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4"/>
        <v>1.9249019607843136</v>
      </c>
      <c r="G433" t="s">
        <v>20</v>
      </c>
      <c r="H433">
        <v>94</v>
      </c>
      <c r="I433" s="7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0">
        <f t="shared" si="26"/>
        <v>43273.208333333328</v>
      </c>
      <c r="O433" s="10">
        <f t="shared" si="27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 "/",)</f>
        <v>theater</v>
      </c>
      <c r="T433" t="str">
        <v>plays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4"/>
        <v>0.82714285714285718</v>
      </c>
      <c r="G434" t="s">
        <v>14</v>
      </c>
      <c r="H434">
        <v>91</v>
      </c>
      <c r="I434" s="7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0">
        <f t="shared" si="26"/>
        <v>41761.208333333336</v>
      </c>
      <c r="O434" s="10">
        <f t="shared" si="27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 "/",)</f>
        <v>theater</v>
      </c>
      <c r="T434" t="str">
        <v>plays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4"/>
        <v>0.54163920922570019</v>
      </c>
      <c r="G435" t="s">
        <v>14</v>
      </c>
      <c r="H435">
        <v>792</v>
      </c>
      <c r="I435" s="7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0">
        <f t="shared" si="26"/>
        <v>41603.25</v>
      </c>
      <c r="O435" s="10">
        <f t="shared" si="27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 "/",)</f>
        <v>film &amp; video</v>
      </c>
      <c r="T435" t="str">
        <v>documentary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4"/>
        <v>0.16722222222222222</v>
      </c>
      <c r="G436" t="s">
        <v>74</v>
      </c>
      <c r="H436">
        <v>10</v>
      </c>
      <c r="I436" s="7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10">
        <f t="shared" si="26"/>
        <v>42705.25</v>
      </c>
      <c r="O436" s="10">
        <f t="shared" si="27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 "/",)</f>
        <v>theater</v>
      </c>
      <c r="T436" t="str">
        <v>plays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4"/>
        <v>1.168766404199475</v>
      </c>
      <c r="G437" t="s">
        <v>20</v>
      </c>
      <c r="H437">
        <v>1713</v>
      </c>
      <c r="I437" s="7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0">
        <f t="shared" si="26"/>
        <v>41988.25</v>
      </c>
      <c r="O437" s="10">
        <f t="shared" si="27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 "/",)</f>
        <v>theater</v>
      </c>
      <c r="T437" t="str">
        <v>plays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4"/>
        <v>10.521538461538462</v>
      </c>
      <c r="G438" t="s">
        <v>20</v>
      </c>
      <c r="H438">
        <v>249</v>
      </c>
      <c r="I438" s="7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0">
        <f t="shared" si="26"/>
        <v>43575.208333333328</v>
      </c>
      <c r="O438" s="10">
        <f t="shared" si="27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 "/",)</f>
        <v>music</v>
      </c>
      <c r="T438" t="str">
        <v>jazz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4"/>
        <v>1.2307407407407407</v>
      </c>
      <c r="G439" t="s">
        <v>20</v>
      </c>
      <c r="H439">
        <v>192</v>
      </c>
      <c r="I439" s="7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0">
        <f t="shared" si="26"/>
        <v>42260.208333333328</v>
      </c>
      <c r="O439" s="10">
        <f t="shared" si="27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 "/",)</f>
        <v>film &amp; video</v>
      </c>
      <c r="T439" t="str">
        <v>animation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4"/>
        <v>1.7863855421686747</v>
      </c>
      <c r="G440" t="s">
        <v>20</v>
      </c>
      <c r="H440">
        <v>247</v>
      </c>
      <c r="I440" s="7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0">
        <f t="shared" si="26"/>
        <v>41337.25</v>
      </c>
      <c r="O440" s="10">
        <f t="shared" si="27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 "/",)</f>
        <v>theater</v>
      </c>
      <c r="T440" t="str">
        <v>plays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4"/>
        <v>3.5528169014084505</v>
      </c>
      <c r="G441" t="s">
        <v>20</v>
      </c>
      <c r="H441">
        <v>2293</v>
      </c>
      <c r="I441" s="7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0">
        <f t="shared" si="26"/>
        <v>42680.208333333328</v>
      </c>
      <c r="O441" s="10">
        <f t="shared" si="27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 "/",)</f>
        <v>film &amp; video</v>
      </c>
      <c r="T441" t="str">
        <v>science fiction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4"/>
        <v>1.6190634146341463</v>
      </c>
      <c r="G442" t="s">
        <v>20</v>
      </c>
      <c r="H442">
        <v>3131</v>
      </c>
      <c r="I442" s="7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0">
        <f t="shared" si="26"/>
        <v>42916.208333333328</v>
      </c>
      <c r="O442" s="10">
        <f t="shared" si="27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 "/",)</f>
        <v>film &amp; video</v>
      </c>
      <c r="T442" t="str">
        <v>television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4"/>
        <v>0.24914285714285714</v>
      </c>
      <c r="G443" t="s">
        <v>14</v>
      </c>
      <c r="H443">
        <v>32</v>
      </c>
      <c r="I443" s="7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10">
        <f t="shared" si="26"/>
        <v>41025.208333333336</v>
      </c>
      <c r="O443" s="10">
        <f t="shared" si="27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 "/",)</f>
        <v>technology</v>
      </c>
      <c r="T443" t="str">
        <v>wearables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4"/>
        <v>1.9872222222222222</v>
      </c>
      <c r="G444" t="s">
        <v>20</v>
      </c>
      <c r="H444">
        <v>143</v>
      </c>
      <c r="I444" s="7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0">
        <f t="shared" si="26"/>
        <v>42980.208333333328</v>
      </c>
      <c r="O444" s="10">
        <f t="shared" si="27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 "/",)</f>
        <v>theater</v>
      </c>
      <c r="T444" t="str">
        <v>plays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4"/>
        <v>0.34752688172043011</v>
      </c>
      <c r="G445" t="s">
        <v>74</v>
      </c>
      <c r="H445">
        <v>90</v>
      </c>
      <c r="I445" s="7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0">
        <f t="shared" si="26"/>
        <v>40451.208333333336</v>
      </c>
      <c r="O445" s="10">
        <f t="shared" si="27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 "/",)</f>
        <v>theater</v>
      </c>
      <c r="T445" t="str">
        <v>plays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4"/>
        <v>1.7641935483870967</v>
      </c>
      <c r="G446" t="s">
        <v>20</v>
      </c>
      <c r="H446">
        <v>296</v>
      </c>
      <c r="I446" s="7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0">
        <f t="shared" si="26"/>
        <v>40748.208333333336</v>
      </c>
      <c r="O446" s="10">
        <f t="shared" si="27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 "/",)</f>
        <v>music</v>
      </c>
      <c r="T446" t="str">
        <v>indie rock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4"/>
        <v>5.1138095238095236</v>
      </c>
      <c r="G447" t="s">
        <v>20</v>
      </c>
      <c r="H447">
        <v>170</v>
      </c>
      <c r="I447" s="7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0">
        <f t="shared" si="26"/>
        <v>40515.25</v>
      </c>
      <c r="O447" s="10">
        <f t="shared" si="27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 "/",)</f>
        <v>theater</v>
      </c>
      <c r="T447" t="str">
        <v>plays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4"/>
        <v>0.82044117647058823</v>
      </c>
      <c r="G448" t="s">
        <v>14</v>
      </c>
      <c r="H448">
        <v>186</v>
      </c>
      <c r="I448" s="7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0">
        <f t="shared" si="26"/>
        <v>41261.25</v>
      </c>
      <c r="O448" s="10">
        <f t="shared" si="27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 "/",)</f>
        <v>technology</v>
      </c>
      <c r="T448" t="str">
        <v>wearables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4"/>
        <v>0.24326030927835052</v>
      </c>
      <c r="G449" t="s">
        <v>74</v>
      </c>
      <c r="H449">
        <v>439</v>
      </c>
      <c r="I449" s="7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10">
        <f t="shared" si="26"/>
        <v>43088.25</v>
      </c>
      <c r="O449" s="10">
        <f t="shared" si="27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 "/",)</f>
        <v>film &amp; video</v>
      </c>
      <c r="T449" t="str">
        <v>television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4"/>
        <v>0.50482758620689661</v>
      </c>
      <c r="G450" t="s">
        <v>14</v>
      </c>
      <c r="H450">
        <v>605</v>
      </c>
      <c r="I450" s="7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0">
        <f t="shared" si="26"/>
        <v>41378.208333333336</v>
      </c>
      <c r="O450" s="10">
        <f t="shared" si="27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 "/",)</f>
        <v>games</v>
      </c>
      <c r="T450" t="str">
        <v>video games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8">E451/D451</f>
        <v>9.67</v>
      </c>
      <c r="G451" t="s">
        <v>20</v>
      </c>
      <c r="H451">
        <v>86</v>
      </c>
      <c r="I451" s="7">
        <f t="shared" ref="I451:I514" si="29">E451/H451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0">
        <f t="shared" ref="N451:N514" si="30">(((L451/60)/60)/24)+DATE(1970,1,1)</f>
        <v>43530.25</v>
      </c>
      <c r="O451" s="10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 "/",)</f>
        <v>games</v>
      </c>
      <c r="T451" t="str">
        <v>video games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8"/>
        <v>0.04</v>
      </c>
      <c r="G452" t="s">
        <v>14</v>
      </c>
      <c r="H452">
        <v>1</v>
      </c>
      <c r="I452" s="7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10">
        <f t="shared" si="30"/>
        <v>43394.208333333328</v>
      </c>
      <c r="O452" s="10">
        <f t="shared" si="31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 "/",)</f>
        <v>film &amp; video</v>
      </c>
      <c r="T452" t="str">
        <v>animation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8"/>
        <v>1.2284501347708894</v>
      </c>
      <c r="G453" t="s">
        <v>20</v>
      </c>
      <c r="H453">
        <v>6286</v>
      </c>
      <c r="I453" s="7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0">
        <f t="shared" si="30"/>
        <v>42935.208333333328</v>
      </c>
      <c r="O453" s="10">
        <f t="shared" si="31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 "/",)</f>
        <v>music</v>
      </c>
      <c r="T453" t="str">
        <v>rock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8"/>
        <v>0.63437500000000002</v>
      </c>
      <c r="G454" t="s">
        <v>14</v>
      </c>
      <c r="H454">
        <v>31</v>
      </c>
      <c r="I454" s="7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0">
        <f t="shared" si="30"/>
        <v>40365.208333333336</v>
      </c>
      <c r="O454" s="10">
        <f t="shared" si="31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 "/",)</f>
        <v>film &amp; video</v>
      </c>
      <c r="T454" t="str">
        <v>drama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8"/>
        <v>0.56331688596491225</v>
      </c>
      <c r="G455" t="s">
        <v>14</v>
      </c>
      <c r="H455">
        <v>1181</v>
      </c>
      <c r="I455" s="7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0">
        <f t="shared" si="30"/>
        <v>42705.25</v>
      </c>
      <c r="O455" s="10">
        <f t="shared" si="31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 "/",)</f>
        <v>film &amp; video</v>
      </c>
      <c r="T455" t="str">
        <v>science fiction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8"/>
        <v>0.44074999999999998</v>
      </c>
      <c r="G456" t="s">
        <v>14</v>
      </c>
      <c r="H456">
        <v>39</v>
      </c>
      <c r="I456" s="7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0">
        <f t="shared" si="30"/>
        <v>41568.208333333336</v>
      </c>
      <c r="O456" s="10">
        <f t="shared" si="31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 "/",)</f>
        <v>film &amp; video</v>
      </c>
      <c r="T456" t="str">
        <v>drama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8"/>
        <v>1.1837253218884121</v>
      </c>
      <c r="G457" t="s">
        <v>20</v>
      </c>
      <c r="H457">
        <v>3727</v>
      </c>
      <c r="I457" s="7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0">
        <f t="shared" si="30"/>
        <v>40809.208333333336</v>
      </c>
      <c r="O457" s="10">
        <f t="shared" si="31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 "/",)</f>
        <v>theater</v>
      </c>
      <c r="T457" t="str">
        <v>plays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8"/>
        <v>1.041243169398907</v>
      </c>
      <c r="G458" t="s">
        <v>20</v>
      </c>
      <c r="H458">
        <v>1605</v>
      </c>
      <c r="I458" s="7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0">
        <f t="shared" si="30"/>
        <v>43141.25</v>
      </c>
      <c r="O458" s="10">
        <f t="shared" si="31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 "/",)</f>
        <v>music</v>
      </c>
      <c r="T458" t="str">
        <v>indie rock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8"/>
        <v>0.26640000000000003</v>
      </c>
      <c r="G459" t="s">
        <v>14</v>
      </c>
      <c r="H459">
        <v>46</v>
      </c>
      <c r="I459" s="7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0">
        <f t="shared" si="30"/>
        <v>42657.208333333328</v>
      </c>
      <c r="O459" s="10">
        <f t="shared" si="31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 "/",)</f>
        <v>theater</v>
      </c>
      <c r="T459" t="str">
        <v>plays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8"/>
        <v>3.5120118343195266</v>
      </c>
      <c r="G460" t="s">
        <v>20</v>
      </c>
      <c r="H460">
        <v>2120</v>
      </c>
      <c r="I460" s="7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0">
        <f t="shared" si="30"/>
        <v>40265.208333333336</v>
      </c>
      <c r="O460" s="10">
        <f t="shared" si="31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 "/",)</f>
        <v>theater</v>
      </c>
      <c r="T460" t="str">
        <v>plays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8"/>
        <v>0.90063492063492068</v>
      </c>
      <c r="G461" t="s">
        <v>14</v>
      </c>
      <c r="H461">
        <v>105</v>
      </c>
      <c r="I461" s="7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0">
        <f t="shared" si="30"/>
        <v>42001.25</v>
      </c>
      <c r="O461" s="10">
        <f t="shared" si="31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 "/",)</f>
        <v>film &amp; video</v>
      </c>
      <c r="T461" t="str">
        <v>documentary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8"/>
        <v>1.7162500000000001</v>
      </c>
      <c r="G462" t="s">
        <v>20</v>
      </c>
      <c r="H462">
        <v>50</v>
      </c>
      <c r="I462" s="7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10">
        <f t="shared" si="30"/>
        <v>40399.208333333336</v>
      </c>
      <c r="O462" s="10">
        <f t="shared" si="31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 "/",)</f>
        <v>theater</v>
      </c>
      <c r="T462" t="str">
        <v>plays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8"/>
        <v>1.4104655870445344</v>
      </c>
      <c r="G463" t="s">
        <v>20</v>
      </c>
      <c r="H463">
        <v>2080</v>
      </c>
      <c r="I463" s="7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0">
        <f t="shared" si="30"/>
        <v>41757.208333333336</v>
      </c>
      <c r="O463" s="10">
        <f t="shared" si="31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 "/",)</f>
        <v>film &amp; video</v>
      </c>
      <c r="T463" t="str">
        <v>drama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8"/>
        <v>0.30579449152542371</v>
      </c>
      <c r="G464" t="s">
        <v>14</v>
      </c>
      <c r="H464">
        <v>535</v>
      </c>
      <c r="I464" s="7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0">
        <f t="shared" si="30"/>
        <v>41304.25</v>
      </c>
      <c r="O464" s="10">
        <f t="shared" si="31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 "/",)</f>
        <v>games</v>
      </c>
      <c r="T464" t="str">
        <v>mobile games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8"/>
        <v>1.0816455696202532</v>
      </c>
      <c r="G465" t="s">
        <v>20</v>
      </c>
      <c r="H465">
        <v>2105</v>
      </c>
      <c r="I465" s="7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0">
        <f t="shared" si="30"/>
        <v>41639.25</v>
      </c>
      <c r="O465" s="10">
        <f t="shared" si="31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 "/",)</f>
        <v>film &amp; video</v>
      </c>
      <c r="T465" t="str">
        <v>animation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8"/>
        <v>1.3345505617977529</v>
      </c>
      <c r="G466" t="s">
        <v>20</v>
      </c>
      <c r="H466">
        <v>2436</v>
      </c>
      <c r="I466" s="7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0">
        <f t="shared" si="30"/>
        <v>43142.25</v>
      </c>
      <c r="O466" s="10">
        <f t="shared" si="31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 "/",)</f>
        <v>theater</v>
      </c>
      <c r="T466" t="str">
        <v>plays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8"/>
        <v>1.8785106382978722</v>
      </c>
      <c r="G467" t="s">
        <v>20</v>
      </c>
      <c r="H467">
        <v>80</v>
      </c>
      <c r="I467" s="7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0">
        <f t="shared" si="30"/>
        <v>43127.25</v>
      </c>
      <c r="O467" s="10">
        <f t="shared" si="31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 "/",)</f>
        <v>publishing</v>
      </c>
      <c r="T467" t="str">
        <v>translations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8"/>
        <v>3.32</v>
      </c>
      <c r="G468" t="s">
        <v>20</v>
      </c>
      <c r="H468">
        <v>42</v>
      </c>
      <c r="I468" s="7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0">
        <f t="shared" si="30"/>
        <v>41409.208333333336</v>
      </c>
      <c r="O468" s="10">
        <f t="shared" si="31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 "/",)</f>
        <v>technology</v>
      </c>
      <c r="T468" t="str">
        <v>wearables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8"/>
        <v>5.7521428571428572</v>
      </c>
      <c r="G469" t="s">
        <v>20</v>
      </c>
      <c r="H469">
        <v>139</v>
      </c>
      <c r="I469" s="7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0">
        <f t="shared" si="30"/>
        <v>42331.25</v>
      </c>
      <c r="O469" s="10">
        <f t="shared" si="31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 "/",)</f>
        <v>technology</v>
      </c>
      <c r="T469" t="str">
        <v>web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8"/>
        <v>0.40500000000000003</v>
      </c>
      <c r="G470" t="s">
        <v>14</v>
      </c>
      <c r="H470">
        <v>16</v>
      </c>
      <c r="I470" s="7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10">
        <f t="shared" si="30"/>
        <v>43569.208333333328</v>
      </c>
      <c r="O470" s="10">
        <f t="shared" si="31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 "/",)</f>
        <v>theater</v>
      </c>
      <c r="T470" t="str">
        <v>plays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8"/>
        <v>1.8442857142857143</v>
      </c>
      <c r="G471" t="s">
        <v>20</v>
      </c>
      <c r="H471">
        <v>159</v>
      </c>
      <c r="I471" s="7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0">
        <f t="shared" si="30"/>
        <v>42142.208333333328</v>
      </c>
      <c r="O471" s="10">
        <f t="shared" si="31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 "/",)</f>
        <v>film &amp; video</v>
      </c>
      <c r="T471" t="str">
        <v>drama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8"/>
        <v>2.8580555555555556</v>
      </c>
      <c r="G472" t="s">
        <v>20</v>
      </c>
      <c r="H472">
        <v>381</v>
      </c>
      <c r="I472" s="7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0">
        <f t="shared" si="30"/>
        <v>42716.25</v>
      </c>
      <c r="O472" s="10">
        <f t="shared" si="31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 "/",)</f>
        <v>technology</v>
      </c>
      <c r="T472" t="str">
        <v>wearables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8"/>
        <v>3.19</v>
      </c>
      <c r="G473" t="s">
        <v>20</v>
      </c>
      <c r="H473">
        <v>194</v>
      </c>
      <c r="I473" s="7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0">
        <f t="shared" si="30"/>
        <v>41031.208333333336</v>
      </c>
      <c r="O473" s="10">
        <f t="shared" si="31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 "/",)</f>
        <v>food</v>
      </c>
      <c r="T473" t="str">
        <v>food trucks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8"/>
        <v>0.39234070221066319</v>
      </c>
      <c r="G474" t="s">
        <v>14</v>
      </c>
      <c r="H474">
        <v>575</v>
      </c>
      <c r="I474" s="7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0">
        <f t="shared" si="30"/>
        <v>43535.208333333328</v>
      </c>
      <c r="O474" s="10">
        <f t="shared" si="31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 "/",)</f>
        <v>music</v>
      </c>
      <c r="T474" t="str">
        <v>rock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8"/>
        <v>1.7814000000000001</v>
      </c>
      <c r="G475" t="s">
        <v>20</v>
      </c>
      <c r="H475">
        <v>106</v>
      </c>
      <c r="I475" s="7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0">
        <f t="shared" si="30"/>
        <v>43277.208333333328</v>
      </c>
      <c r="O475" s="10">
        <f t="shared" si="31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 "/",)</f>
        <v>music</v>
      </c>
      <c r="T475" t="str">
        <v>electric music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8"/>
        <v>3.6515</v>
      </c>
      <c r="G476" t="s">
        <v>20</v>
      </c>
      <c r="H476">
        <v>142</v>
      </c>
      <c r="I476" s="7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0">
        <f t="shared" si="30"/>
        <v>41989.25</v>
      </c>
      <c r="O476" s="10">
        <f t="shared" si="31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 "/",)</f>
        <v>film &amp; video</v>
      </c>
      <c r="T476" t="str">
        <v>television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8"/>
        <v>1.1394594594594594</v>
      </c>
      <c r="G477" t="s">
        <v>20</v>
      </c>
      <c r="H477">
        <v>211</v>
      </c>
      <c r="I477" s="7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0">
        <f t="shared" si="30"/>
        <v>41450.208333333336</v>
      </c>
      <c r="O477" s="10">
        <f t="shared" si="31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 "/",)</f>
        <v>publishing</v>
      </c>
      <c r="T477" t="str">
        <v>translations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8"/>
        <v>0.29828720626631855</v>
      </c>
      <c r="G478" t="s">
        <v>14</v>
      </c>
      <c r="H478">
        <v>1120</v>
      </c>
      <c r="I478" s="7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0">
        <f t="shared" si="30"/>
        <v>43322.208333333328</v>
      </c>
      <c r="O478" s="10">
        <f t="shared" si="31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 "/",)</f>
        <v>publishing</v>
      </c>
      <c r="T478" t="str">
        <v>fiction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8"/>
        <v>0.54270588235294115</v>
      </c>
      <c r="G479" t="s">
        <v>14</v>
      </c>
      <c r="H479">
        <v>113</v>
      </c>
      <c r="I479" s="7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0">
        <f t="shared" si="30"/>
        <v>40720.208333333336</v>
      </c>
      <c r="O479" s="10">
        <f t="shared" si="31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 "/",)</f>
        <v>film &amp; video</v>
      </c>
      <c r="T479" t="str">
        <v>science fiction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8"/>
        <v>2.3634156976744185</v>
      </c>
      <c r="G480" t="s">
        <v>20</v>
      </c>
      <c r="H480">
        <v>2756</v>
      </c>
      <c r="I480" s="7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0">
        <f t="shared" si="30"/>
        <v>42072.208333333328</v>
      </c>
      <c r="O480" s="10">
        <f t="shared" si="31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 "/",)</f>
        <v>technology</v>
      </c>
      <c r="T480" t="str">
        <v>wearables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8"/>
        <v>5.1291666666666664</v>
      </c>
      <c r="G481" t="s">
        <v>20</v>
      </c>
      <c r="H481">
        <v>173</v>
      </c>
      <c r="I481" s="7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0">
        <f t="shared" si="30"/>
        <v>42945.208333333328</v>
      </c>
      <c r="O481" s="10">
        <f t="shared" si="31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 "/",)</f>
        <v>food</v>
      </c>
      <c r="T481" t="str">
        <v>food trucks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8"/>
        <v>1.0065116279069768</v>
      </c>
      <c r="G482" t="s">
        <v>20</v>
      </c>
      <c r="H482">
        <v>87</v>
      </c>
      <c r="I482" s="7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0">
        <f t="shared" si="30"/>
        <v>40248.25</v>
      </c>
      <c r="O482" s="10">
        <f t="shared" si="31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 "/",)</f>
        <v>photography</v>
      </c>
      <c r="T482" t="str">
        <v>photography books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8"/>
        <v>0.81348423194303154</v>
      </c>
      <c r="G483" t="s">
        <v>14</v>
      </c>
      <c r="H483">
        <v>1538</v>
      </c>
      <c r="I483" s="7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0">
        <f t="shared" si="30"/>
        <v>41913.208333333336</v>
      </c>
      <c r="O483" s="10">
        <f t="shared" si="31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 "/",)</f>
        <v>theater</v>
      </c>
      <c r="T483" t="str">
        <v>plays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8"/>
        <v>0.16404761904761905</v>
      </c>
      <c r="G484" t="s">
        <v>14</v>
      </c>
      <c r="H484">
        <v>9</v>
      </c>
      <c r="I484" s="7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0">
        <f t="shared" si="30"/>
        <v>40963.25</v>
      </c>
      <c r="O484" s="10">
        <f t="shared" si="31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 "/",)</f>
        <v>publishing</v>
      </c>
      <c r="T484" t="str">
        <v>fiction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8"/>
        <v>0.52774617067833696</v>
      </c>
      <c r="G485" t="s">
        <v>14</v>
      </c>
      <c r="H485">
        <v>554</v>
      </c>
      <c r="I485" s="7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0">
        <f t="shared" si="30"/>
        <v>43811.25</v>
      </c>
      <c r="O485" s="10">
        <f t="shared" si="31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 "/",)</f>
        <v>theater</v>
      </c>
      <c r="T485" t="str">
        <v>plays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8"/>
        <v>2.6020608108108108</v>
      </c>
      <c r="G486" t="s">
        <v>20</v>
      </c>
      <c r="H486">
        <v>1572</v>
      </c>
      <c r="I486" s="7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0">
        <f t="shared" si="30"/>
        <v>41855.208333333336</v>
      </c>
      <c r="O486" s="10">
        <f t="shared" si="31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 "/",)</f>
        <v>food</v>
      </c>
      <c r="T486" t="str">
        <v>food trucks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8"/>
        <v>0.30732891832229581</v>
      </c>
      <c r="G487" t="s">
        <v>14</v>
      </c>
      <c r="H487">
        <v>648</v>
      </c>
      <c r="I487" s="7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0">
        <f t="shared" si="30"/>
        <v>43626.208333333328</v>
      </c>
      <c r="O487" s="10">
        <f t="shared" si="31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 "/",)</f>
        <v>theater</v>
      </c>
      <c r="T487" t="str">
        <v>plays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8"/>
        <v>0.13500000000000001</v>
      </c>
      <c r="G488" t="s">
        <v>14</v>
      </c>
      <c r="H488">
        <v>21</v>
      </c>
      <c r="I488" s="7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0">
        <f t="shared" si="30"/>
        <v>43168.25</v>
      </c>
      <c r="O488" s="10">
        <f t="shared" si="31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 "/",)</f>
        <v>publishing</v>
      </c>
      <c r="T488" t="str">
        <v>translations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8"/>
        <v>1.7862556663644606</v>
      </c>
      <c r="G489" t="s">
        <v>20</v>
      </c>
      <c r="H489">
        <v>2346</v>
      </c>
      <c r="I489" s="7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0">
        <f t="shared" si="30"/>
        <v>42845.208333333328</v>
      </c>
      <c r="O489" s="10">
        <f t="shared" si="31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 "/",)</f>
        <v>theater</v>
      </c>
      <c r="T489" t="str">
        <v>plays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8"/>
        <v>2.2005660377358489</v>
      </c>
      <c r="G490" t="s">
        <v>20</v>
      </c>
      <c r="H490">
        <v>115</v>
      </c>
      <c r="I490" s="7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0">
        <f t="shared" si="30"/>
        <v>42403.25</v>
      </c>
      <c r="O490" s="10">
        <f t="shared" si="31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 "/",)</f>
        <v>theater</v>
      </c>
      <c r="T490" t="str">
        <v>plays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8"/>
        <v>1.015108695652174</v>
      </c>
      <c r="G491" t="s">
        <v>20</v>
      </c>
      <c r="H491">
        <v>85</v>
      </c>
      <c r="I491" s="7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0">
        <f t="shared" si="30"/>
        <v>40406.208333333336</v>
      </c>
      <c r="O491" s="10">
        <f t="shared" si="31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 "/",)</f>
        <v>technology</v>
      </c>
      <c r="T491" t="str">
        <v>wearables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8"/>
        <v>1.915</v>
      </c>
      <c r="G492" t="s">
        <v>20</v>
      </c>
      <c r="H492">
        <v>144</v>
      </c>
      <c r="I492" s="7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0">
        <f t="shared" si="30"/>
        <v>43786.25</v>
      </c>
      <c r="O492" s="10">
        <f t="shared" si="31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 "/",)</f>
        <v>journalism</v>
      </c>
      <c r="T492" t="str">
        <v>audio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8"/>
        <v>3.0534683098591549</v>
      </c>
      <c r="G493" t="s">
        <v>20</v>
      </c>
      <c r="H493">
        <v>2443</v>
      </c>
      <c r="I493" s="7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0">
        <f t="shared" si="30"/>
        <v>41456.208333333336</v>
      </c>
      <c r="O493" s="10">
        <f t="shared" si="31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 "/",)</f>
        <v>food</v>
      </c>
      <c r="T493" t="str">
        <v>food trucks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8"/>
        <v>0.23995287958115183</v>
      </c>
      <c r="G494" t="s">
        <v>74</v>
      </c>
      <c r="H494">
        <v>595</v>
      </c>
      <c r="I494" s="7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0">
        <f t="shared" si="30"/>
        <v>40336.208333333336</v>
      </c>
      <c r="O494" s="10">
        <f t="shared" si="31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 "/",)</f>
        <v>film &amp; video</v>
      </c>
      <c r="T494" t="str">
        <v>shorts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8"/>
        <v>7.2377777777777776</v>
      </c>
      <c r="G495" t="s">
        <v>20</v>
      </c>
      <c r="H495">
        <v>64</v>
      </c>
      <c r="I495" s="7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0">
        <f t="shared" si="30"/>
        <v>43645.208333333328</v>
      </c>
      <c r="O495" s="10">
        <f t="shared" si="31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 "/",)</f>
        <v>photography</v>
      </c>
      <c r="T495" t="str">
        <v>photography books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8"/>
        <v>5.4736000000000002</v>
      </c>
      <c r="G496" t="s">
        <v>20</v>
      </c>
      <c r="H496">
        <v>268</v>
      </c>
      <c r="I496" s="7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0">
        <f t="shared" si="30"/>
        <v>40990.208333333336</v>
      </c>
      <c r="O496" s="10">
        <f t="shared" si="31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 "/",)</f>
        <v>technology</v>
      </c>
      <c r="T496" t="str">
        <v>wearables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8"/>
        <v>4.1449999999999996</v>
      </c>
      <c r="G497" t="s">
        <v>20</v>
      </c>
      <c r="H497">
        <v>195</v>
      </c>
      <c r="I497" s="7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0">
        <f t="shared" si="30"/>
        <v>41800.208333333336</v>
      </c>
      <c r="O497" s="10">
        <f t="shared" si="31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 "/",)</f>
        <v>theater</v>
      </c>
      <c r="T497" t="str">
        <v>plays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8"/>
        <v>9.0696409140369975E-3</v>
      </c>
      <c r="G498" t="s">
        <v>14</v>
      </c>
      <c r="H498">
        <v>54</v>
      </c>
      <c r="I498" s="7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0">
        <f t="shared" si="30"/>
        <v>42876.208333333328</v>
      </c>
      <c r="O498" s="10">
        <f t="shared" si="31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 "/",)</f>
        <v>film &amp; video</v>
      </c>
      <c r="T498" t="str">
        <v>animation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8"/>
        <v>0.34173469387755101</v>
      </c>
      <c r="G499" t="s">
        <v>14</v>
      </c>
      <c r="H499">
        <v>120</v>
      </c>
      <c r="I499" s="7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0">
        <f t="shared" si="30"/>
        <v>42724.25</v>
      </c>
      <c r="O499" s="10">
        <f t="shared" si="31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 "/",)</f>
        <v>technology</v>
      </c>
      <c r="T499" t="str">
        <v>wearables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8"/>
        <v>0.239488107549121</v>
      </c>
      <c r="G500" t="s">
        <v>14</v>
      </c>
      <c r="H500">
        <v>579</v>
      </c>
      <c r="I500" s="7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0">
        <f t="shared" si="30"/>
        <v>42005.25</v>
      </c>
      <c r="O500" s="10">
        <f t="shared" si="31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 "/",)</f>
        <v>technology</v>
      </c>
      <c r="T500" t="str">
        <v>web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8"/>
        <v>0.48072649572649573</v>
      </c>
      <c r="G501" t="s">
        <v>14</v>
      </c>
      <c r="H501">
        <v>2072</v>
      </c>
      <c r="I501" s="7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0">
        <f t="shared" si="30"/>
        <v>42444.208333333328</v>
      </c>
      <c r="O501" s="10">
        <f t="shared" si="31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 "/",)</f>
        <v>film &amp; video</v>
      </c>
      <c r="T501" t="str">
        <v>documentary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7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0">
        <f t="shared" si="30"/>
        <v>41395.208333333336</v>
      </c>
      <c r="O502" s="10">
        <f t="shared" si="31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 "/",)</f>
        <v>theater</v>
      </c>
      <c r="T502" t="str">
        <v>plays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8"/>
        <v>0.70145182291666663</v>
      </c>
      <c r="G503" t="s">
        <v>14</v>
      </c>
      <c r="H503">
        <v>1796</v>
      </c>
      <c r="I503" s="7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0">
        <f t="shared" si="30"/>
        <v>41345.208333333336</v>
      </c>
      <c r="O503" s="10">
        <f t="shared" si="31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 "/",)</f>
        <v>film &amp; video</v>
      </c>
      <c r="T503" t="str">
        <v>documentary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8"/>
        <v>5.2992307692307694</v>
      </c>
      <c r="G504" t="s">
        <v>20</v>
      </c>
      <c r="H504">
        <v>186</v>
      </c>
      <c r="I504" s="7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0">
        <f t="shared" si="30"/>
        <v>41117.208333333336</v>
      </c>
      <c r="O504" s="10">
        <f t="shared" si="31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 "/",)</f>
        <v>games</v>
      </c>
      <c r="T504" t="str">
        <v>video games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8"/>
        <v>1.8032549019607844</v>
      </c>
      <c r="G505" t="s">
        <v>20</v>
      </c>
      <c r="H505">
        <v>460</v>
      </c>
      <c r="I505" s="7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0">
        <f t="shared" si="30"/>
        <v>42186.208333333328</v>
      </c>
      <c r="O505" s="10">
        <f t="shared" si="31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 "/",)</f>
        <v>film &amp; video</v>
      </c>
      <c r="T505" t="str">
        <v>drama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8"/>
        <v>0.92320000000000002</v>
      </c>
      <c r="G506" t="s">
        <v>14</v>
      </c>
      <c r="H506">
        <v>62</v>
      </c>
      <c r="I506" s="7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0">
        <f t="shared" si="30"/>
        <v>42142.208333333328</v>
      </c>
      <c r="O506" s="10">
        <f t="shared" si="31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 "/",)</f>
        <v>music</v>
      </c>
      <c r="T506" t="str">
        <v>rock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8"/>
        <v>0.13901001112347053</v>
      </c>
      <c r="G507" t="s">
        <v>14</v>
      </c>
      <c r="H507">
        <v>347</v>
      </c>
      <c r="I507" s="7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0">
        <f t="shared" si="30"/>
        <v>41341.25</v>
      </c>
      <c r="O507" s="10">
        <f t="shared" si="31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 "/",)</f>
        <v>publishing</v>
      </c>
      <c r="T507" t="str">
        <v>radio &amp; podcasts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8"/>
        <v>9.2707777777777771</v>
      </c>
      <c r="G508" t="s">
        <v>20</v>
      </c>
      <c r="H508">
        <v>2528</v>
      </c>
      <c r="I508" s="7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0">
        <f t="shared" si="30"/>
        <v>43062.25</v>
      </c>
      <c r="O508" s="10">
        <f t="shared" si="31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 "/",)</f>
        <v>theater</v>
      </c>
      <c r="T508" t="str">
        <v>plays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8"/>
        <v>0.39857142857142858</v>
      </c>
      <c r="G509" t="s">
        <v>14</v>
      </c>
      <c r="H509">
        <v>19</v>
      </c>
      <c r="I509" s="7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0">
        <f t="shared" si="30"/>
        <v>41373.208333333336</v>
      </c>
      <c r="O509" s="10">
        <f t="shared" si="31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 "/",)</f>
        <v>technology</v>
      </c>
      <c r="T509" t="str">
        <v>web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8"/>
        <v>1.1222929936305732</v>
      </c>
      <c r="G510" t="s">
        <v>20</v>
      </c>
      <c r="H510">
        <v>3657</v>
      </c>
      <c r="I510" s="7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0">
        <f t="shared" si="30"/>
        <v>43310.208333333328</v>
      </c>
      <c r="O510" s="10">
        <f t="shared" si="31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 "/",)</f>
        <v>theater</v>
      </c>
      <c r="T510" t="str">
        <v>plays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8"/>
        <v>0.70925816023738875</v>
      </c>
      <c r="G511" t="s">
        <v>14</v>
      </c>
      <c r="H511">
        <v>1258</v>
      </c>
      <c r="I511" s="7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10">
        <f t="shared" si="30"/>
        <v>41034.208333333336</v>
      </c>
      <c r="O511" s="10">
        <f t="shared" si="31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 "/",)</f>
        <v>theater</v>
      </c>
      <c r="T511" t="str">
        <v>plays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8"/>
        <v>1.1908974358974358</v>
      </c>
      <c r="G512" t="s">
        <v>20</v>
      </c>
      <c r="H512">
        <v>131</v>
      </c>
      <c r="I512" s="7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0">
        <f t="shared" si="30"/>
        <v>43251.208333333328</v>
      </c>
      <c r="O512" s="10">
        <f t="shared" si="31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 "/",)</f>
        <v>film &amp; video</v>
      </c>
      <c r="T512" t="str">
        <v>drama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8"/>
        <v>0.24017591339648173</v>
      </c>
      <c r="G513" t="s">
        <v>14</v>
      </c>
      <c r="H513">
        <v>362</v>
      </c>
      <c r="I513" s="7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0">
        <f t="shared" si="30"/>
        <v>43671.208333333328</v>
      </c>
      <c r="O513" s="10">
        <f t="shared" si="31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 "/",)</f>
        <v>theater</v>
      </c>
      <c r="T513" t="str">
        <v>plays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8"/>
        <v>1.3931868131868133</v>
      </c>
      <c r="G514" t="s">
        <v>20</v>
      </c>
      <c r="H514">
        <v>239</v>
      </c>
      <c r="I514" s="7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0">
        <f t="shared" si="30"/>
        <v>41825.208333333336</v>
      </c>
      <c r="O514" s="10">
        <f t="shared" si="31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 "/",)</f>
        <v>games</v>
      </c>
      <c r="T514" t="str">
        <v>video games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32">E515/D515</f>
        <v>0.39277108433734942</v>
      </c>
      <c r="G515" t="s">
        <v>74</v>
      </c>
      <c r="H515">
        <v>35</v>
      </c>
      <c r="I515" s="7">
        <f t="shared" ref="I515:I578" si="33">E515/H515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0">
        <f t="shared" ref="N515:N578" si="34">(((L515/60)/60)/24)+DATE(1970,1,1)</f>
        <v>40430.208333333336</v>
      </c>
      <c r="O515" s="10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 "/",)</f>
        <v>film &amp; video</v>
      </c>
      <c r="T515" t="str">
        <v>television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2"/>
        <v>0.22439077144917088</v>
      </c>
      <c r="G516" t="s">
        <v>74</v>
      </c>
      <c r="H516">
        <v>528</v>
      </c>
      <c r="I516" s="7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0">
        <f t="shared" si="34"/>
        <v>41614.25</v>
      </c>
      <c r="O516" s="10">
        <f t="shared" si="35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 "/",)</f>
        <v>music</v>
      </c>
      <c r="T516" t="str">
        <v>rock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2"/>
        <v>0.55779069767441858</v>
      </c>
      <c r="G517" t="s">
        <v>14</v>
      </c>
      <c r="H517">
        <v>133</v>
      </c>
      <c r="I517" s="7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0">
        <f t="shared" si="34"/>
        <v>40900.25</v>
      </c>
      <c r="O517" s="10">
        <f t="shared" si="35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 "/",)</f>
        <v>theater</v>
      </c>
      <c r="T517" t="str">
        <v>plays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2"/>
        <v>0.42523125996810207</v>
      </c>
      <c r="G518" t="s">
        <v>14</v>
      </c>
      <c r="H518">
        <v>846</v>
      </c>
      <c r="I518" s="7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0">
        <f t="shared" si="34"/>
        <v>40396.208333333336</v>
      </c>
      <c r="O518" s="10">
        <f t="shared" si="35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 "/",)</f>
        <v>publishing</v>
      </c>
      <c r="T518" t="str">
        <v>nonfiction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2"/>
        <v>1.1200000000000001</v>
      </c>
      <c r="G519" t="s">
        <v>20</v>
      </c>
      <c r="H519">
        <v>78</v>
      </c>
      <c r="I519" s="7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0">
        <f t="shared" si="34"/>
        <v>42860.208333333328</v>
      </c>
      <c r="O519" s="10">
        <f t="shared" si="35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 "/",)</f>
        <v>food</v>
      </c>
      <c r="T519" t="str">
        <v>food trucks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7.0681818181818179E-2</v>
      </c>
      <c r="G520" t="s">
        <v>14</v>
      </c>
      <c r="H520">
        <v>10</v>
      </c>
      <c r="I520" s="7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10">
        <f t="shared" si="34"/>
        <v>43154.25</v>
      </c>
      <c r="O520" s="10">
        <f t="shared" si="35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 "/",)</f>
        <v>film &amp; video</v>
      </c>
      <c r="T520" t="str">
        <v>animation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2"/>
        <v>1.0174563871693867</v>
      </c>
      <c r="G521" t="s">
        <v>20</v>
      </c>
      <c r="H521">
        <v>1773</v>
      </c>
      <c r="I521" s="7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0">
        <f t="shared" si="34"/>
        <v>42012.25</v>
      </c>
      <c r="O521" s="10">
        <f t="shared" si="35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 "/",)</f>
        <v>music</v>
      </c>
      <c r="T521" t="str">
        <v>rock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2"/>
        <v>4.2575000000000003</v>
      </c>
      <c r="G522" t="s">
        <v>20</v>
      </c>
      <c r="H522">
        <v>32</v>
      </c>
      <c r="I522" s="7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0">
        <f t="shared" si="34"/>
        <v>43574.208333333328</v>
      </c>
      <c r="O522" s="10">
        <f t="shared" si="35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 "/",)</f>
        <v>theater</v>
      </c>
      <c r="T522" t="str">
        <v>plays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2"/>
        <v>1.4553947368421052</v>
      </c>
      <c r="G523" t="s">
        <v>20</v>
      </c>
      <c r="H523">
        <v>369</v>
      </c>
      <c r="I523" s="7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0">
        <f t="shared" si="34"/>
        <v>42605.208333333328</v>
      </c>
      <c r="O523" s="10">
        <f t="shared" si="35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 "/",)</f>
        <v>film &amp; video</v>
      </c>
      <c r="T523" t="str">
        <v>drama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2"/>
        <v>0.32453465346534655</v>
      </c>
      <c r="G524" t="s">
        <v>14</v>
      </c>
      <c r="H524">
        <v>191</v>
      </c>
      <c r="I524" s="7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0">
        <f t="shared" si="34"/>
        <v>41093.208333333336</v>
      </c>
      <c r="O524" s="10">
        <f t="shared" si="35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 "/",)</f>
        <v>film &amp; video</v>
      </c>
      <c r="T524" t="str">
        <v>shorts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2"/>
        <v>7.003333333333333</v>
      </c>
      <c r="G525" t="s">
        <v>20</v>
      </c>
      <c r="H525">
        <v>89</v>
      </c>
      <c r="I525" s="7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0">
        <f t="shared" si="34"/>
        <v>40241.25</v>
      </c>
      <c r="O525" s="10">
        <f t="shared" si="35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 "/",)</f>
        <v>film &amp; video</v>
      </c>
      <c r="T525" t="str">
        <v>shorts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2"/>
        <v>0.83904860392967939</v>
      </c>
      <c r="G526" t="s">
        <v>14</v>
      </c>
      <c r="H526">
        <v>1979</v>
      </c>
      <c r="I526" s="7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0">
        <f t="shared" si="34"/>
        <v>40294.208333333336</v>
      </c>
      <c r="O526" s="10">
        <f t="shared" si="35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 "/",)</f>
        <v>theater</v>
      </c>
      <c r="T526" t="str">
        <v>plays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2"/>
        <v>0.84190476190476193</v>
      </c>
      <c r="G527" t="s">
        <v>14</v>
      </c>
      <c r="H527">
        <v>63</v>
      </c>
      <c r="I527" s="7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0">
        <f t="shared" si="34"/>
        <v>40505.25</v>
      </c>
      <c r="O527" s="10">
        <f t="shared" si="35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 "/",)</f>
        <v>technology</v>
      </c>
      <c r="T527" t="str">
        <v>wearables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2"/>
        <v>1.5595180722891566</v>
      </c>
      <c r="G528" t="s">
        <v>20</v>
      </c>
      <c r="H528">
        <v>147</v>
      </c>
      <c r="I528" s="7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0">
        <f t="shared" si="34"/>
        <v>42364.25</v>
      </c>
      <c r="O528" s="10">
        <f t="shared" si="35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 "/",)</f>
        <v>theater</v>
      </c>
      <c r="T528" t="str">
        <v>plays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2"/>
        <v>0.99619450317124736</v>
      </c>
      <c r="G529" t="s">
        <v>14</v>
      </c>
      <c r="H529">
        <v>6080</v>
      </c>
      <c r="I529" s="7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10">
        <f t="shared" si="34"/>
        <v>42405.25</v>
      </c>
      <c r="O529" s="10">
        <f t="shared" si="35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 "/",)</f>
        <v>film &amp; video</v>
      </c>
      <c r="T529" t="str">
        <v>animation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2"/>
        <v>0.80300000000000005</v>
      </c>
      <c r="G530" t="s">
        <v>14</v>
      </c>
      <c r="H530">
        <v>80</v>
      </c>
      <c r="I530" s="7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0">
        <f t="shared" si="34"/>
        <v>41601.25</v>
      </c>
      <c r="O530" s="10">
        <f t="shared" si="35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 "/",)</f>
        <v>music</v>
      </c>
      <c r="T530" t="str">
        <v>indie rock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2"/>
        <v>0.11254901960784314</v>
      </c>
      <c r="G531" t="s">
        <v>14</v>
      </c>
      <c r="H531">
        <v>9</v>
      </c>
      <c r="I531" s="7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0">
        <f t="shared" si="34"/>
        <v>41769.208333333336</v>
      </c>
      <c r="O531" s="10">
        <f t="shared" si="35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 "/",)</f>
        <v>games</v>
      </c>
      <c r="T531" t="str">
        <v>video games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2"/>
        <v>0.91740952380952379</v>
      </c>
      <c r="G532" t="s">
        <v>14</v>
      </c>
      <c r="H532">
        <v>1784</v>
      </c>
      <c r="I532" s="7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0">
        <f t="shared" si="34"/>
        <v>40421.208333333336</v>
      </c>
      <c r="O532" s="10">
        <f t="shared" si="35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 "/",)</f>
        <v>publishing</v>
      </c>
      <c r="T532" t="str">
        <v>fiction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2"/>
        <v>0.95521156936261387</v>
      </c>
      <c r="G533" t="s">
        <v>47</v>
      </c>
      <c r="H533">
        <v>3640</v>
      </c>
      <c r="I533" s="7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0">
        <f t="shared" si="34"/>
        <v>41589.25</v>
      </c>
      <c r="O533" s="10">
        <f t="shared" si="35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 "/",)</f>
        <v>games</v>
      </c>
      <c r="T533" t="str">
        <v>video games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2"/>
        <v>5.0287499999999996</v>
      </c>
      <c r="G534" t="s">
        <v>20</v>
      </c>
      <c r="H534">
        <v>126</v>
      </c>
      <c r="I534" s="7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0">
        <f t="shared" si="34"/>
        <v>43125.25</v>
      </c>
      <c r="O534" s="10">
        <f t="shared" si="35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 "/",)</f>
        <v>theater</v>
      </c>
      <c r="T534" t="str">
        <v>plays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2"/>
        <v>1.5924394463667819</v>
      </c>
      <c r="G535" t="s">
        <v>20</v>
      </c>
      <c r="H535">
        <v>2218</v>
      </c>
      <c r="I535" s="7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0">
        <f t="shared" si="34"/>
        <v>41479.208333333336</v>
      </c>
      <c r="O535" s="10">
        <f t="shared" si="35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 "/",)</f>
        <v>music</v>
      </c>
      <c r="T535" t="str">
        <v>indie rock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2"/>
        <v>0.15022446689113356</v>
      </c>
      <c r="G536" t="s">
        <v>14</v>
      </c>
      <c r="H536">
        <v>243</v>
      </c>
      <c r="I536" s="7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0">
        <f t="shared" si="34"/>
        <v>43329.208333333328</v>
      </c>
      <c r="O536" s="10">
        <f t="shared" si="35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 "/",)</f>
        <v>film &amp; video</v>
      </c>
      <c r="T536" t="str">
        <v>drama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2"/>
        <v>4.820384615384615</v>
      </c>
      <c r="G537" t="s">
        <v>20</v>
      </c>
      <c r="H537">
        <v>202</v>
      </c>
      <c r="I537" s="7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0">
        <f t="shared" si="34"/>
        <v>43259.208333333328</v>
      </c>
      <c r="O537" s="10">
        <f t="shared" si="35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 "/",)</f>
        <v>theater</v>
      </c>
      <c r="T537" t="str">
        <v>plays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2"/>
        <v>1.4996938775510205</v>
      </c>
      <c r="G538" t="s">
        <v>20</v>
      </c>
      <c r="H538">
        <v>140</v>
      </c>
      <c r="I538" s="7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0">
        <f t="shared" si="34"/>
        <v>40414.208333333336</v>
      </c>
      <c r="O538" s="10">
        <f t="shared" si="35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 "/",)</f>
        <v>publishing</v>
      </c>
      <c r="T538" t="str">
        <v>fiction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2"/>
        <v>1.1722156398104266</v>
      </c>
      <c r="G539" t="s">
        <v>20</v>
      </c>
      <c r="H539">
        <v>1052</v>
      </c>
      <c r="I539" s="7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0">
        <f t="shared" si="34"/>
        <v>43342.208333333328</v>
      </c>
      <c r="O539" s="10">
        <f t="shared" si="35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 "/",)</f>
        <v>film &amp; video</v>
      </c>
      <c r="T539" t="str">
        <v>documentary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2"/>
        <v>0.37695968274950431</v>
      </c>
      <c r="G540" t="s">
        <v>14</v>
      </c>
      <c r="H540">
        <v>1296</v>
      </c>
      <c r="I540" s="7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0">
        <f t="shared" si="34"/>
        <v>41539.208333333336</v>
      </c>
      <c r="O540" s="10">
        <f t="shared" si="35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 "/",)</f>
        <v>games</v>
      </c>
      <c r="T540" t="str">
        <v>mobile games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2"/>
        <v>0.72653061224489801</v>
      </c>
      <c r="G541" t="s">
        <v>14</v>
      </c>
      <c r="H541">
        <v>77</v>
      </c>
      <c r="I541" s="7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0">
        <f t="shared" si="34"/>
        <v>43647.208333333328</v>
      </c>
      <c r="O541" s="10">
        <f t="shared" si="35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 "/",)</f>
        <v>food</v>
      </c>
      <c r="T541" t="str">
        <v>food trucks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2"/>
        <v>2.6598113207547169</v>
      </c>
      <c r="G542" t="s">
        <v>20</v>
      </c>
      <c r="H542">
        <v>247</v>
      </c>
      <c r="I542" s="7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0">
        <f t="shared" si="34"/>
        <v>43225.208333333328</v>
      </c>
      <c r="O542" s="10">
        <f t="shared" si="35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 "/",)</f>
        <v>photography</v>
      </c>
      <c r="T542" t="str">
        <v>photography books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2"/>
        <v>0.24205617977528091</v>
      </c>
      <c r="G543" t="s">
        <v>14</v>
      </c>
      <c r="H543">
        <v>395</v>
      </c>
      <c r="I543" s="7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0">
        <f t="shared" si="34"/>
        <v>42165.208333333328</v>
      </c>
      <c r="O543" s="10">
        <f t="shared" si="35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 "/",)</f>
        <v>games</v>
      </c>
      <c r="T543" t="str">
        <v>mobile games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2.5064935064935064E-2</v>
      </c>
      <c r="G544" t="s">
        <v>14</v>
      </c>
      <c r="H544">
        <v>49</v>
      </c>
      <c r="I544" s="7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0">
        <f t="shared" si="34"/>
        <v>42391.25</v>
      </c>
      <c r="O544" s="10">
        <f t="shared" si="35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 "/",)</f>
        <v>music</v>
      </c>
      <c r="T544" t="str">
        <v>indie rock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2"/>
        <v>0.1632979976442874</v>
      </c>
      <c r="G545" t="s">
        <v>14</v>
      </c>
      <c r="H545">
        <v>180</v>
      </c>
      <c r="I545" s="7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0">
        <f t="shared" si="34"/>
        <v>41528.208333333336</v>
      </c>
      <c r="O545" s="10">
        <f t="shared" si="35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 "/",)</f>
        <v>games</v>
      </c>
      <c r="T545" t="str">
        <v>video games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2"/>
        <v>2.7650000000000001</v>
      </c>
      <c r="G546" t="s">
        <v>20</v>
      </c>
      <c r="H546">
        <v>84</v>
      </c>
      <c r="I546" s="7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0">
        <f t="shared" si="34"/>
        <v>42377.25</v>
      </c>
      <c r="O546" s="10">
        <f t="shared" si="35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 "/",)</f>
        <v>music</v>
      </c>
      <c r="T546" t="str">
        <v>rock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2"/>
        <v>0.88803571428571426</v>
      </c>
      <c r="G547" t="s">
        <v>14</v>
      </c>
      <c r="H547">
        <v>2690</v>
      </c>
      <c r="I547" s="7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0">
        <f t="shared" si="34"/>
        <v>43824.25</v>
      </c>
      <c r="O547" s="10">
        <f t="shared" si="35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 "/",)</f>
        <v>theater</v>
      </c>
      <c r="T547" t="str">
        <v>plays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2"/>
        <v>1.6357142857142857</v>
      </c>
      <c r="G548" t="s">
        <v>20</v>
      </c>
      <c r="H548">
        <v>88</v>
      </c>
      <c r="I548" s="7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0">
        <f t="shared" si="34"/>
        <v>43360.208333333328</v>
      </c>
      <c r="O548" s="10">
        <f t="shared" si="35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 "/",)</f>
        <v>theater</v>
      </c>
      <c r="T548" t="str">
        <v>plays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2"/>
        <v>9.69</v>
      </c>
      <c r="G549" t="s">
        <v>20</v>
      </c>
      <c r="H549">
        <v>156</v>
      </c>
      <c r="I549" s="7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10">
        <f t="shared" si="34"/>
        <v>42029.25</v>
      </c>
      <c r="O549" s="10">
        <f t="shared" si="35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 "/",)</f>
        <v>film &amp; video</v>
      </c>
      <c r="T549" t="str">
        <v>drama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2"/>
        <v>2.7091376701966716</v>
      </c>
      <c r="G550" t="s">
        <v>20</v>
      </c>
      <c r="H550">
        <v>2985</v>
      </c>
      <c r="I550" s="7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0">
        <f t="shared" si="34"/>
        <v>42461.208333333328</v>
      </c>
      <c r="O550" s="10">
        <f t="shared" si="35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 "/",)</f>
        <v>theater</v>
      </c>
      <c r="T550" t="str">
        <v>plays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2"/>
        <v>2.8421355932203389</v>
      </c>
      <c r="G551" t="s">
        <v>20</v>
      </c>
      <c r="H551">
        <v>762</v>
      </c>
      <c r="I551" s="7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0">
        <f t="shared" si="34"/>
        <v>41422.208333333336</v>
      </c>
      <c r="O551" s="10">
        <f t="shared" si="35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 "/",)</f>
        <v>technology</v>
      </c>
      <c r="T551" t="str">
        <v>wearables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2"/>
        <v>0.04</v>
      </c>
      <c r="G552" t="s">
        <v>74</v>
      </c>
      <c r="H552">
        <v>1</v>
      </c>
      <c r="I552" s="7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s="10">
        <f t="shared" si="34"/>
        <v>40968.25</v>
      </c>
      <c r="O552" s="10">
        <f t="shared" si="35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 "/",)</f>
        <v>music</v>
      </c>
      <c r="T552" t="str">
        <v>indie rock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2"/>
        <v>0.58632981676846196</v>
      </c>
      <c r="G553" t="s">
        <v>14</v>
      </c>
      <c r="H553">
        <v>2779</v>
      </c>
      <c r="I553" s="7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0">
        <f t="shared" si="34"/>
        <v>41993.25</v>
      </c>
      <c r="O553" s="10">
        <f t="shared" si="35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 "/",)</f>
        <v>technology</v>
      </c>
      <c r="T553" t="str">
        <v>web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2"/>
        <v>0.98511111111111116</v>
      </c>
      <c r="G554" t="s">
        <v>14</v>
      </c>
      <c r="H554">
        <v>92</v>
      </c>
      <c r="I554" s="7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0">
        <f t="shared" si="34"/>
        <v>42700.25</v>
      </c>
      <c r="O554" s="10">
        <f t="shared" si="35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 "/",)</f>
        <v>theater</v>
      </c>
      <c r="T554" t="str">
        <v>plays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2"/>
        <v>0.43975381008206332</v>
      </c>
      <c r="G555" t="s">
        <v>14</v>
      </c>
      <c r="H555">
        <v>1028</v>
      </c>
      <c r="I555" s="7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0">
        <f t="shared" si="34"/>
        <v>40545.25</v>
      </c>
      <c r="O555" s="10">
        <f t="shared" si="35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 "/",)</f>
        <v>music</v>
      </c>
      <c r="T555" t="str">
        <v>rock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2"/>
        <v>1.5166315789473683</v>
      </c>
      <c r="G556" t="s">
        <v>20</v>
      </c>
      <c r="H556">
        <v>554</v>
      </c>
      <c r="I556" s="7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0">
        <f t="shared" si="34"/>
        <v>42723.25</v>
      </c>
      <c r="O556" s="10">
        <f t="shared" si="35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 "/",)</f>
        <v>music</v>
      </c>
      <c r="T556" t="str">
        <v>indie rock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2"/>
        <v>2.2363492063492063</v>
      </c>
      <c r="G557" t="s">
        <v>20</v>
      </c>
      <c r="H557">
        <v>135</v>
      </c>
      <c r="I557" s="7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0">
        <f t="shared" si="34"/>
        <v>41731.208333333336</v>
      </c>
      <c r="O557" s="10">
        <f t="shared" si="35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 "/",)</f>
        <v>music</v>
      </c>
      <c r="T557" t="str">
        <v>rock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2"/>
        <v>2.3975</v>
      </c>
      <c r="G558" t="s">
        <v>20</v>
      </c>
      <c r="H558">
        <v>122</v>
      </c>
      <c r="I558" s="7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0">
        <f t="shared" si="34"/>
        <v>40792.208333333336</v>
      </c>
      <c r="O558" s="10">
        <f t="shared" si="35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 "/",)</f>
        <v>publishing</v>
      </c>
      <c r="T558" t="str">
        <v>translations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2"/>
        <v>1.9933333333333334</v>
      </c>
      <c r="G559" t="s">
        <v>20</v>
      </c>
      <c r="H559">
        <v>221</v>
      </c>
      <c r="I559" s="7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0">
        <f t="shared" si="34"/>
        <v>42279.208333333328</v>
      </c>
      <c r="O559" s="10">
        <f t="shared" si="35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 "/",)</f>
        <v>film &amp; video</v>
      </c>
      <c r="T559" t="str">
        <v>science fiction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2"/>
        <v>1.373448275862069</v>
      </c>
      <c r="G560" t="s">
        <v>20</v>
      </c>
      <c r="H560">
        <v>126</v>
      </c>
      <c r="I560" s="7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0">
        <f t="shared" si="34"/>
        <v>42424.25</v>
      </c>
      <c r="O560" s="10">
        <f t="shared" si="35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 "/",)</f>
        <v>theater</v>
      </c>
      <c r="T560" t="str">
        <v>plays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2"/>
        <v>1.009696106362773</v>
      </c>
      <c r="G561" t="s">
        <v>20</v>
      </c>
      <c r="H561">
        <v>1022</v>
      </c>
      <c r="I561" s="7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0">
        <f t="shared" si="34"/>
        <v>42584.208333333328</v>
      </c>
      <c r="O561" s="10">
        <f t="shared" si="35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 "/",)</f>
        <v>theater</v>
      </c>
      <c r="T561" t="str">
        <v>plays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2"/>
        <v>7.9416000000000002</v>
      </c>
      <c r="G562" t="s">
        <v>20</v>
      </c>
      <c r="H562">
        <v>3177</v>
      </c>
      <c r="I562" s="7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0">
        <f t="shared" si="34"/>
        <v>40865.25</v>
      </c>
      <c r="O562" s="10">
        <f t="shared" si="35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 "/",)</f>
        <v>film &amp; video</v>
      </c>
      <c r="T562" t="str">
        <v>animation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2"/>
        <v>3.6970000000000001</v>
      </c>
      <c r="G563" t="s">
        <v>20</v>
      </c>
      <c r="H563">
        <v>198</v>
      </c>
      <c r="I563" s="7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0">
        <f t="shared" si="34"/>
        <v>40833.208333333336</v>
      </c>
      <c r="O563" s="10">
        <f t="shared" si="35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 "/",)</f>
        <v>theater</v>
      </c>
      <c r="T563" t="str">
        <v>plays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2"/>
        <v>0.12818181818181817</v>
      </c>
      <c r="G564" t="s">
        <v>14</v>
      </c>
      <c r="H564">
        <v>26</v>
      </c>
      <c r="I564" s="7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0">
        <f t="shared" si="34"/>
        <v>43536.208333333328</v>
      </c>
      <c r="O564" s="10">
        <f t="shared" si="35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 "/",)</f>
        <v>music</v>
      </c>
      <c r="T564" t="str">
        <v>rock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2"/>
        <v>1.3802702702702703</v>
      </c>
      <c r="G565" t="s">
        <v>20</v>
      </c>
      <c r="H565">
        <v>85</v>
      </c>
      <c r="I565" s="7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0">
        <f t="shared" si="34"/>
        <v>43417.25</v>
      </c>
      <c r="O565" s="10">
        <f t="shared" si="35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 "/",)</f>
        <v>film &amp; video</v>
      </c>
      <c r="T565" t="str">
        <v>documentary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2"/>
        <v>0.83813278008298753</v>
      </c>
      <c r="G566" t="s">
        <v>14</v>
      </c>
      <c r="H566">
        <v>1790</v>
      </c>
      <c r="I566" s="7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0">
        <f t="shared" si="34"/>
        <v>42078.208333333328</v>
      </c>
      <c r="O566" s="10">
        <f t="shared" si="35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 "/",)</f>
        <v>theater</v>
      </c>
      <c r="T566" t="str">
        <v>plays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2"/>
        <v>2.0460063224446787</v>
      </c>
      <c r="G567" t="s">
        <v>20</v>
      </c>
      <c r="H567">
        <v>3596</v>
      </c>
      <c r="I567" s="7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0">
        <f t="shared" si="34"/>
        <v>40862.25</v>
      </c>
      <c r="O567" s="10">
        <f t="shared" si="35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 "/",)</f>
        <v>theater</v>
      </c>
      <c r="T567" t="str">
        <v>plays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2"/>
        <v>0.44344086021505374</v>
      </c>
      <c r="G568" t="s">
        <v>14</v>
      </c>
      <c r="H568">
        <v>37</v>
      </c>
      <c r="I568" s="7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0">
        <f t="shared" si="34"/>
        <v>42424.25</v>
      </c>
      <c r="O568" s="10">
        <f t="shared" si="35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 "/",)</f>
        <v>music</v>
      </c>
      <c r="T568" t="str">
        <v>electric music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2"/>
        <v>2.1860294117647059</v>
      </c>
      <c r="G569" t="s">
        <v>20</v>
      </c>
      <c r="H569">
        <v>244</v>
      </c>
      <c r="I569" s="7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0">
        <f t="shared" si="34"/>
        <v>41830.208333333336</v>
      </c>
      <c r="O569" s="10">
        <f t="shared" si="35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 "/",)</f>
        <v>music</v>
      </c>
      <c r="T569" t="str">
        <v>rock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2"/>
        <v>1.8603314917127072</v>
      </c>
      <c r="G570" t="s">
        <v>20</v>
      </c>
      <c r="H570">
        <v>5180</v>
      </c>
      <c r="I570" s="7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0">
        <f t="shared" si="34"/>
        <v>40374.208333333336</v>
      </c>
      <c r="O570" s="10">
        <f t="shared" si="35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 "/",)</f>
        <v>theater</v>
      </c>
      <c r="T570" t="str">
        <v>plays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2"/>
        <v>2.3733830845771142</v>
      </c>
      <c r="G571" t="s">
        <v>20</v>
      </c>
      <c r="H571">
        <v>589</v>
      </c>
      <c r="I571" s="7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0">
        <f t="shared" si="34"/>
        <v>40554.25</v>
      </c>
      <c r="O571" s="10">
        <f t="shared" si="35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 "/",)</f>
        <v>film &amp; video</v>
      </c>
      <c r="T571" t="str">
        <v>animation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2"/>
        <v>3.0565384615384614</v>
      </c>
      <c r="G572" t="s">
        <v>20</v>
      </c>
      <c r="H572">
        <v>2725</v>
      </c>
      <c r="I572" s="7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0">
        <f t="shared" si="34"/>
        <v>41993.25</v>
      </c>
      <c r="O572" s="10">
        <f t="shared" si="35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 "/",)</f>
        <v>music</v>
      </c>
      <c r="T572" t="str">
        <v>rock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2"/>
        <v>0.94142857142857139</v>
      </c>
      <c r="G573" t="s">
        <v>14</v>
      </c>
      <c r="H573">
        <v>35</v>
      </c>
      <c r="I573" s="7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0">
        <f t="shared" si="34"/>
        <v>42174.208333333328</v>
      </c>
      <c r="O573" s="10">
        <f t="shared" si="35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 "/",)</f>
        <v>film &amp; video</v>
      </c>
      <c r="T573" t="str">
        <v>shorts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2"/>
        <v>0.54400000000000004</v>
      </c>
      <c r="G574" t="s">
        <v>74</v>
      </c>
      <c r="H574">
        <v>94</v>
      </c>
      <c r="I574" s="7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0">
        <f t="shared" si="34"/>
        <v>42275.208333333328</v>
      </c>
      <c r="O574" s="10">
        <f t="shared" si="35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 "/",)</f>
        <v>music</v>
      </c>
      <c r="T574" t="str">
        <v>rock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2"/>
        <v>1.1188059701492536</v>
      </c>
      <c r="G575" t="s">
        <v>20</v>
      </c>
      <c r="H575">
        <v>300</v>
      </c>
      <c r="I575" s="7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0">
        <f t="shared" si="34"/>
        <v>41761.208333333336</v>
      </c>
      <c r="O575" s="10">
        <f t="shared" si="35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 "/",)</f>
        <v>journalism</v>
      </c>
      <c r="T575" t="str">
        <v>audio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2"/>
        <v>3.6914814814814814</v>
      </c>
      <c r="G576" t="s">
        <v>20</v>
      </c>
      <c r="H576">
        <v>144</v>
      </c>
      <c r="I576" s="7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0">
        <f t="shared" si="34"/>
        <v>43806.25</v>
      </c>
      <c r="O576" s="10">
        <f t="shared" si="35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 "/",)</f>
        <v>food</v>
      </c>
      <c r="T576" t="str">
        <v>food trucks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2"/>
        <v>0.62930372148859548</v>
      </c>
      <c r="G577" t="s">
        <v>14</v>
      </c>
      <c r="H577">
        <v>558</v>
      </c>
      <c r="I577" s="7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0">
        <f t="shared" si="34"/>
        <v>41779.208333333336</v>
      </c>
      <c r="O577" s="10">
        <f t="shared" si="35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 "/",)</f>
        <v>theater</v>
      </c>
      <c r="T577" t="str">
        <v>plays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2"/>
        <v>0.6492783505154639</v>
      </c>
      <c r="G578" t="s">
        <v>14</v>
      </c>
      <c r="H578">
        <v>64</v>
      </c>
      <c r="I578" s="7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0">
        <f t="shared" si="34"/>
        <v>43040.208333333328</v>
      </c>
      <c r="O578" s="10">
        <f t="shared" si="35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 "/",)</f>
        <v>theater</v>
      </c>
      <c r="T578" t="str">
        <v>plays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36">E579/D579</f>
        <v>0.18853658536585366</v>
      </c>
      <c r="G579" t="s">
        <v>74</v>
      </c>
      <c r="H579">
        <v>37</v>
      </c>
      <c r="I579" s="7">
        <f t="shared" ref="I579:I642" si="37">E579/H579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0">
        <f t="shared" ref="N579:N642" si="38">(((L579/60)/60)/24)+DATE(1970,1,1)</f>
        <v>40613.25</v>
      </c>
      <c r="O579" s="10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 "/",)</f>
        <v>music</v>
      </c>
      <c r="T579" t="str">
        <v>jazz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6"/>
        <v>0.1675440414507772</v>
      </c>
      <c r="G580" t="s">
        <v>14</v>
      </c>
      <c r="H580">
        <v>245</v>
      </c>
      <c r="I580" s="7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0">
        <f t="shared" si="38"/>
        <v>40878.25</v>
      </c>
      <c r="O580" s="10">
        <f t="shared" si="39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 "/",)</f>
        <v>film &amp; video</v>
      </c>
      <c r="T580" t="str">
        <v>science fiction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6"/>
        <v>1.0111290322580646</v>
      </c>
      <c r="G581" t="s">
        <v>20</v>
      </c>
      <c r="H581">
        <v>87</v>
      </c>
      <c r="I581" s="7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0">
        <f t="shared" si="38"/>
        <v>40762.208333333336</v>
      </c>
      <c r="O581" s="10">
        <f t="shared" si="39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 "/",)</f>
        <v>music</v>
      </c>
      <c r="T581" t="str">
        <v>jazz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6"/>
        <v>3.4150228310502282</v>
      </c>
      <c r="G582" t="s">
        <v>20</v>
      </c>
      <c r="H582">
        <v>3116</v>
      </c>
      <c r="I582" s="7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0">
        <f t="shared" si="38"/>
        <v>41696.25</v>
      </c>
      <c r="O582" s="10">
        <f t="shared" si="39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 "/",)</f>
        <v>theater</v>
      </c>
      <c r="T582" t="str">
        <v>plays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6"/>
        <v>0.64016666666666666</v>
      </c>
      <c r="G583" t="s">
        <v>14</v>
      </c>
      <c r="H583">
        <v>71</v>
      </c>
      <c r="I583" s="7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0">
        <f t="shared" si="38"/>
        <v>40662.208333333336</v>
      </c>
      <c r="O583" s="10">
        <f t="shared" si="39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 "/",)</f>
        <v>technology</v>
      </c>
      <c r="T583" t="str">
        <v>web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6"/>
        <v>0.5208045977011494</v>
      </c>
      <c r="G584" t="s">
        <v>14</v>
      </c>
      <c r="H584">
        <v>42</v>
      </c>
      <c r="I584" s="7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0">
        <f t="shared" si="38"/>
        <v>42165.208333333328</v>
      </c>
      <c r="O584" s="10">
        <f t="shared" si="39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 "/",)</f>
        <v>games</v>
      </c>
      <c r="T584" t="str">
        <v>video games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6"/>
        <v>3.2240211640211642</v>
      </c>
      <c r="G585" t="s">
        <v>20</v>
      </c>
      <c r="H585">
        <v>909</v>
      </c>
      <c r="I585" s="7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0">
        <f t="shared" si="38"/>
        <v>40959.25</v>
      </c>
      <c r="O585" s="10">
        <f t="shared" si="39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 "/",)</f>
        <v>film &amp; video</v>
      </c>
      <c r="T585" t="str">
        <v>documentary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6"/>
        <v>1.1950810185185186</v>
      </c>
      <c r="G586" t="s">
        <v>20</v>
      </c>
      <c r="H586">
        <v>1613</v>
      </c>
      <c r="I586" s="7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0">
        <f t="shared" si="38"/>
        <v>41024.208333333336</v>
      </c>
      <c r="O586" s="10">
        <f t="shared" si="39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 "/",)</f>
        <v>technology</v>
      </c>
      <c r="T586" t="str">
        <v>web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6"/>
        <v>1.4679775280898877</v>
      </c>
      <c r="G587" t="s">
        <v>20</v>
      </c>
      <c r="H587">
        <v>136</v>
      </c>
      <c r="I587" s="7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0">
        <f t="shared" si="38"/>
        <v>40255.208333333336</v>
      </c>
      <c r="O587" s="10">
        <f t="shared" si="39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 "/",)</f>
        <v>publishing</v>
      </c>
      <c r="T587" t="str">
        <v>translations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6"/>
        <v>9.5057142857142853</v>
      </c>
      <c r="G588" t="s">
        <v>20</v>
      </c>
      <c r="H588">
        <v>130</v>
      </c>
      <c r="I588" s="7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0">
        <f t="shared" si="38"/>
        <v>40499.25</v>
      </c>
      <c r="O588" s="10">
        <f t="shared" si="39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 "/",)</f>
        <v>music</v>
      </c>
      <c r="T588" t="str">
        <v>rock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6"/>
        <v>0.72893617021276591</v>
      </c>
      <c r="G589" t="s">
        <v>14</v>
      </c>
      <c r="H589">
        <v>156</v>
      </c>
      <c r="I589" s="7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0">
        <f t="shared" si="38"/>
        <v>43484.25</v>
      </c>
      <c r="O589" s="10">
        <f t="shared" si="39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 "/",)</f>
        <v>food</v>
      </c>
      <c r="T589" t="str">
        <v>food trucks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6"/>
        <v>0.7900824873096447</v>
      </c>
      <c r="G590" t="s">
        <v>14</v>
      </c>
      <c r="H590">
        <v>1368</v>
      </c>
      <c r="I590" s="7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0">
        <f t="shared" si="38"/>
        <v>40262.208333333336</v>
      </c>
      <c r="O590" s="10">
        <f t="shared" si="39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 "/",)</f>
        <v>theater</v>
      </c>
      <c r="T590" t="str">
        <v>plays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6"/>
        <v>0.64721518987341775</v>
      </c>
      <c r="G591" t="s">
        <v>14</v>
      </c>
      <c r="H591">
        <v>102</v>
      </c>
      <c r="I591" s="7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0">
        <f t="shared" si="38"/>
        <v>42190.208333333328</v>
      </c>
      <c r="O591" s="10">
        <f t="shared" si="39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 "/",)</f>
        <v>film &amp; video</v>
      </c>
      <c r="T591" t="str">
        <v>documentary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6"/>
        <v>0.82028169014084507</v>
      </c>
      <c r="G592" t="s">
        <v>14</v>
      </c>
      <c r="H592">
        <v>86</v>
      </c>
      <c r="I592" s="7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0">
        <f t="shared" si="38"/>
        <v>41994.25</v>
      </c>
      <c r="O592" s="10">
        <f t="shared" si="39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 "/",)</f>
        <v>publishing</v>
      </c>
      <c r="T592" t="str">
        <v>radio &amp; podcasts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6"/>
        <v>10.376666666666667</v>
      </c>
      <c r="G593" t="s">
        <v>20</v>
      </c>
      <c r="H593">
        <v>102</v>
      </c>
      <c r="I593" s="7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0">
        <f t="shared" si="38"/>
        <v>40373.208333333336</v>
      </c>
      <c r="O593" s="10">
        <f t="shared" si="39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 "/",)</f>
        <v>games</v>
      </c>
      <c r="T593" t="str">
        <v>video games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6"/>
        <v>0.12910076530612244</v>
      </c>
      <c r="G594" t="s">
        <v>14</v>
      </c>
      <c r="H594">
        <v>253</v>
      </c>
      <c r="I594" s="7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0">
        <f t="shared" si="38"/>
        <v>41789.208333333336</v>
      </c>
      <c r="O594" s="10">
        <f t="shared" si="39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 "/",)</f>
        <v>theater</v>
      </c>
      <c r="T594" t="str">
        <v>plays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6"/>
        <v>1.5484210526315789</v>
      </c>
      <c r="G595" t="s">
        <v>20</v>
      </c>
      <c r="H595">
        <v>4006</v>
      </c>
      <c r="I595" s="7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0">
        <f t="shared" si="38"/>
        <v>41724.208333333336</v>
      </c>
      <c r="O595" s="10">
        <f t="shared" si="39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 "/",)</f>
        <v>film &amp; video</v>
      </c>
      <c r="T595" t="str">
        <v>animation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7.0991735537190084E-2</v>
      </c>
      <c r="G596" t="s">
        <v>14</v>
      </c>
      <c r="H596">
        <v>157</v>
      </c>
      <c r="I596" s="7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0">
        <f t="shared" si="38"/>
        <v>42548.208333333328</v>
      </c>
      <c r="O596" s="10">
        <f t="shared" si="39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 "/",)</f>
        <v>theater</v>
      </c>
      <c r="T596" t="str">
        <v>plays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6"/>
        <v>2.0852773826458035</v>
      </c>
      <c r="G597" t="s">
        <v>20</v>
      </c>
      <c r="H597">
        <v>1629</v>
      </c>
      <c r="I597" s="7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0">
        <f t="shared" si="38"/>
        <v>40253.208333333336</v>
      </c>
      <c r="O597" s="10">
        <f t="shared" si="39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 "/",)</f>
        <v>theater</v>
      </c>
      <c r="T597" t="str">
        <v>plays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6"/>
        <v>0.99683544303797467</v>
      </c>
      <c r="G598" t="s">
        <v>14</v>
      </c>
      <c r="H598">
        <v>183</v>
      </c>
      <c r="I598" s="7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0">
        <f t="shared" si="38"/>
        <v>42434.25</v>
      </c>
      <c r="O598" s="10">
        <f t="shared" si="39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 "/",)</f>
        <v>film &amp; video</v>
      </c>
      <c r="T598" t="str">
        <v>drama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6"/>
        <v>2.0159756097560977</v>
      </c>
      <c r="G599" t="s">
        <v>20</v>
      </c>
      <c r="H599">
        <v>2188</v>
      </c>
      <c r="I599" s="7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0">
        <f t="shared" si="38"/>
        <v>43786.25</v>
      </c>
      <c r="O599" s="10">
        <f t="shared" si="39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 "/",)</f>
        <v>theater</v>
      </c>
      <c r="T599" t="str">
        <v>plays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6"/>
        <v>1.6209032258064515</v>
      </c>
      <c r="G600" t="s">
        <v>20</v>
      </c>
      <c r="H600">
        <v>2409</v>
      </c>
      <c r="I600" s="7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0">
        <f t="shared" si="38"/>
        <v>40344.208333333336</v>
      </c>
      <c r="O600" s="10">
        <f t="shared" si="39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 "/",)</f>
        <v>music</v>
      </c>
      <c r="T600" t="str">
        <v>rock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3.6436208125445471E-2</v>
      </c>
      <c r="G601" t="s">
        <v>14</v>
      </c>
      <c r="H601">
        <v>82</v>
      </c>
      <c r="I601" s="7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0">
        <f t="shared" si="38"/>
        <v>42047.25</v>
      </c>
      <c r="O601" s="10">
        <f t="shared" si="39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 "/",)</f>
        <v>film &amp; video</v>
      </c>
      <c r="T601" t="str">
        <v>documentary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6"/>
        <v>0.05</v>
      </c>
      <c r="G602" t="s">
        <v>14</v>
      </c>
      <c r="H602">
        <v>1</v>
      </c>
      <c r="I602" s="7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10">
        <f t="shared" si="38"/>
        <v>41485.208333333336</v>
      </c>
      <c r="O602" s="10">
        <f t="shared" si="39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 "/",)</f>
        <v>food</v>
      </c>
      <c r="T602" t="str">
        <v>food trucks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6"/>
        <v>2.0663492063492064</v>
      </c>
      <c r="G603" t="s">
        <v>20</v>
      </c>
      <c r="H603">
        <v>194</v>
      </c>
      <c r="I603" s="7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0">
        <f t="shared" si="38"/>
        <v>41789.208333333336</v>
      </c>
      <c r="O603" s="10">
        <f t="shared" si="39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 "/",)</f>
        <v>technology</v>
      </c>
      <c r="T603" t="str">
        <v>wearables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6"/>
        <v>1.2823628691983122</v>
      </c>
      <c r="G604" t="s">
        <v>20</v>
      </c>
      <c r="H604">
        <v>1140</v>
      </c>
      <c r="I604" s="7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0">
        <f t="shared" si="38"/>
        <v>42160.208333333328</v>
      </c>
      <c r="O604" s="10">
        <f t="shared" si="39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 "/",)</f>
        <v>theater</v>
      </c>
      <c r="T604" t="str">
        <v>plays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6"/>
        <v>1.1966037735849056</v>
      </c>
      <c r="G605" t="s">
        <v>20</v>
      </c>
      <c r="H605">
        <v>102</v>
      </c>
      <c r="I605" s="7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0">
        <f t="shared" si="38"/>
        <v>43573.208333333328</v>
      </c>
      <c r="O605" s="10">
        <f t="shared" si="39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 "/",)</f>
        <v>theater</v>
      </c>
      <c r="T605" t="str">
        <v>plays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6"/>
        <v>1.7073055242390078</v>
      </c>
      <c r="G606" t="s">
        <v>20</v>
      </c>
      <c r="H606">
        <v>2857</v>
      </c>
      <c r="I606" s="7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0">
        <f t="shared" si="38"/>
        <v>40565.25</v>
      </c>
      <c r="O606" s="10">
        <f t="shared" si="39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 "/",)</f>
        <v>theater</v>
      </c>
      <c r="T606" t="str">
        <v>plays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6"/>
        <v>1.8721212121212121</v>
      </c>
      <c r="G607" t="s">
        <v>20</v>
      </c>
      <c r="H607">
        <v>107</v>
      </c>
      <c r="I607" s="7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0">
        <f t="shared" si="38"/>
        <v>42280.208333333328</v>
      </c>
      <c r="O607" s="10">
        <f t="shared" si="39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 "/",)</f>
        <v>publishing</v>
      </c>
      <c r="T607" t="str">
        <v>nonfiction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6"/>
        <v>1.8838235294117647</v>
      </c>
      <c r="G608" t="s">
        <v>20</v>
      </c>
      <c r="H608">
        <v>160</v>
      </c>
      <c r="I608" s="7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0">
        <f t="shared" si="38"/>
        <v>42436.25</v>
      </c>
      <c r="O608" s="10">
        <f t="shared" si="39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 "/",)</f>
        <v>music</v>
      </c>
      <c r="T608" t="str">
        <v>rock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6"/>
        <v>1.3129869186046512</v>
      </c>
      <c r="G609" t="s">
        <v>20</v>
      </c>
      <c r="H609">
        <v>2230</v>
      </c>
      <c r="I609" s="7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0">
        <f t="shared" si="38"/>
        <v>41721.208333333336</v>
      </c>
      <c r="O609" s="10">
        <f t="shared" si="39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 "/",)</f>
        <v>food</v>
      </c>
      <c r="T609" t="str">
        <v>food trucks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6"/>
        <v>2.8397435897435899</v>
      </c>
      <c r="G610" t="s">
        <v>20</v>
      </c>
      <c r="H610">
        <v>316</v>
      </c>
      <c r="I610" s="7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0">
        <f t="shared" si="38"/>
        <v>43530.25</v>
      </c>
      <c r="O610" s="10">
        <f t="shared" si="39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 "/",)</f>
        <v>music</v>
      </c>
      <c r="T610" t="str">
        <v>jazz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6"/>
        <v>1.2041999999999999</v>
      </c>
      <c r="G611" t="s">
        <v>20</v>
      </c>
      <c r="H611">
        <v>117</v>
      </c>
      <c r="I611" s="7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0">
        <f t="shared" si="38"/>
        <v>43481.25</v>
      </c>
      <c r="O611" s="10">
        <f t="shared" si="39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 "/",)</f>
        <v>film &amp; video</v>
      </c>
      <c r="T611" t="str">
        <v>science fiction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6"/>
        <v>4.1905607476635511</v>
      </c>
      <c r="G612" t="s">
        <v>20</v>
      </c>
      <c r="H612">
        <v>6406</v>
      </c>
      <c r="I612" s="7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0">
        <f t="shared" si="38"/>
        <v>41259.25</v>
      </c>
      <c r="O612" s="10">
        <f t="shared" si="39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 "/",)</f>
        <v>theater</v>
      </c>
      <c r="T612" t="str">
        <v>plays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6"/>
        <v>0.13853658536585367</v>
      </c>
      <c r="G613" t="s">
        <v>74</v>
      </c>
      <c r="H613">
        <v>15</v>
      </c>
      <c r="I613" s="7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0">
        <f t="shared" si="38"/>
        <v>41480.208333333336</v>
      </c>
      <c r="O613" s="10">
        <f t="shared" si="39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 "/",)</f>
        <v>theater</v>
      </c>
      <c r="T613" t="str">
        <v>plays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6"/>
        <v>1.3943548387096774</v>
      </c>
      <c r="G614" t="s">
        <v>20</v>
      </c>
      <c r="H614">
        <v>192</v>
      </c>
      <c r="I614" s="7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0">
        <f t="shared" si="38"/>
        <v>40474.208333333336</v>
      </c>
      <c r="O614" s="10">
        <f t="shared" si="39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 "/",)</f>
        <v>music</v>
      </c>
      <c r="T614" t="str">
        <v>electric music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6"/>
        <v>1.74</v>
      </c>
      <c r="G615" t="s">
        <v>20</v>
      </c>
      <c r="H615">
        <v>26</v>
      </c>
      <c r="I615" s="7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0">
        <f t="shared" si="38"/>
        <v>42973.208333333328</v>
      </c>
      <c r="O615" s="10">
        <f t="shared" si="39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 "/",)</f>
        <v>theater</v>
      </c>
      <c r="T615" t="str">
        <v>plays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6"/>
        <v>1.5549056603773586</v>
      </c>
      <c r="G616" t="s">
        <v>20</v>
      </c>
      <c r="H616">
        <v>723</v>
      </c>
      <c r="I616" s="7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0">
        <f t="shared" si="38"/>
        <v>42746.25</v>
      </c>
      <c r="O616" s="10">
        <f t="shared" si="39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 "/",)</f>
        <v>theater</v>
      </c>
      <c r="T616" t="str">
        <v>plays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6"/>
        <v>1.7044705882352942</v>
      </c>
      <c r="G617" t="s">
        <v>20</v>
      </c>
      <c r="H617">
        <v>170</v>
      </c>
      <c r="I617" s="7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0">
        <f t="shared" si="38"/>
        <v>42489.208333333328</v>
      </c>
      <c r="O617" s="10">
        <f t="shared" si="39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 "/",)</f>
        <v>theater</v>
      </c>
      <c r="T617" t="str">
        <v>plays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6"/>
        <v>1.8951562500000001</v>
      </c>
      <c r="G618" t="s">
        <v>20</v>
      </c>
      <c r="H618">
        <v>238</v>
      </c>
      <c r="I618" s="7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0">
        <f t="shared" si="38"/>
        <v>41537.208333333336</v>
      </c>
      <c r="O618" s="10">
        <f t="shared" si="39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 "/",)</f>
        <v>music</v>
      </c>
      <c r="T618" t="str">
        <v>indie rock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6"/>
        <v>2.4971428571428573</v>
      </c>
      <c r="G619" t="s">
        <v>20</v>
      </c>
      <c r="H619">
        <v>55</v>
      </c>
      <c r="I619" s="7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0">
        <f t="shared" si="38"/>
        <v>41794.208333333336</v>
      </c>
      <c r="O619" s="10">
        <f t="shared" si="39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 "/",)</f>
        <v>theater</v>
      </c>
      <c r="T619" t="str">
        <v>plays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6"/>
        <v>0.48860523665659616</v>
      </c>
      <c r="G620" t="s">
        <v>14</v>
      </c>
      <c r="H620">
        <v>1198</v>
      </c>
      <c r="I620" s="7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0">
        <f t="shared" si="38"/>
        <v>41396.208333333336</v>
      </c>
      <c r="O620" s="10">
        <f t="shared" si="39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 "/",)</f>
        <v>publishing</v>
      </c>
      <c r="T620" t="str">
        <v>nonfiction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6"/>
        <v>0.28461970393057684</v>
      </c>
      <c r="G621" t="s">
        <v>14</v>
      </c>
      <c r="H621">
        <v>648</v>
      </c>
      <c r="I621" s="7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0">
        <f t="shared" si="38"/>
        <v>40669.208333333336</v>
      </c>
      <c r="O621" s="10">
        <f t="shared" si="39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 "/",)</f>
        <v>theater</v>
      </c>
      <c r="T621" t="str">
        <v>plays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6"/>
        <v>2.6802325581395348</v>
      </c>
      <c r="G622" t="s">
        <v>20</v>
      </c>
      <c r="H622">
        <v>128</v>
      </c>
      <c r="I622" s="7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0">
        <f t="shared" si="38"/>
        <v>42559.208333333328</v>
      </c>
      <c r="O622" s="10">
        <f t="shared" si="39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 "/",)</f>
        <v>photography</v>
      </c>
      <c r="T622" t="str">
        <v>photography books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6"/>
        <v>6.1980078125000002</v>
      </c>
      <c r="G623" t="s">
        <v>20</v>
      </c>
      <c r="H623">
        <v>2144</v>
      </c>
      <c r="I623" s="7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0">
        <f t="shared" si="38"/>
        <v>42626.208333333328</v>
      </c>
      <c r="O623" s="10">
        <f t="shared" si="39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 "/",)</f>
        <v>theater</v>
      </c>
      <c r="T623" t="str">
        <v>plays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3.1301587301587303E-2</v>
      </c>
      <c r="G624" t="s">
        <v>14</v>
      </c>
      <c r="H624">
        <v>64</v>
      </c>
      <c r="I624" s="7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0">
        <f t="shared" si="38"/>
        <v>43205.208333333328</v>
      </c>
      <c r="O624" s="10">
        <f t="shared" si="39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 "/",)</f>
        <v>music</v>
      </c>
      <c r="T624" t="str">
        <v>indie rock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6"/>
        <v>1.5992152704135738</v>
      </c>
      <c r="G625" t="s">
        <v>20</v>
      </c>
      <c r="H625">
        <v>2693</v>
      </c>
      <c r="I625" s="7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0">
        <f t="shared" si="38"/>
        <v>42201.208333333328</v>
      </c>
      <c r="O625" s="10">
        <f t="shared" si="39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 "/",)</f>
        <v>theater</v>
      </c>
      <c r="T625" t="str">
        <v>plays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6"/>
        <v>2.793921568627451</v>
      </c>
      <c r="G626" t="s">
        <v>20</v>
      </c>
      <c r="H626">
        <v>432</v>
      </c>
      <c r="I626" s="7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0">
        <f t="shared" si="38"/>
        <v>42029.25</v>
      </c>
      <c r="O626" s="10">
        <f t="shared" si="39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 "/",)</f>
        <v>photography</v>
      </c>
      <c r="T626" t="str">
        <v>photography books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6"/>
        <v>0.77373333333333338</v>
      </c>
      <c r="G627" t="s">
        <v>14</v>
      </c>
      <c r="H627">
        <v>62</v>
      </c>
      <c r="I627" s="7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0">
        <f t="shared" si="38"/>
        <v>43857.25</v>
      </c>
      <c r="O627" s="10">
        <f t="shared" si="39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 "/",)</f>
        <v>theater</v>
      </c>
      <c r="T627" t="str">
        <v>plays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6"/>
        <v>2.0632812500000002</v>
      </c>
      <c r="G628" t="s">
        <v>20</v>
      </c>
      <c r="H628">
        <v>189</v>
      </c>
      <c r="I628" s="7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0">
        <f t="shared" si="38"/>
        <v>40449.208333333336</v>
      </c>
      <c r="O628" s="10">
        <f t="shared" si="39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 "/",)</f>
        <v>theater</v>
      </c>
      <c r="T628" t="str">
        <v>plays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6"/>
        <v>6.9424999999999999</v>
      </c>
      <c r="G629" t="s">
        <v>20</v>
      </c>
      <c r="H629">
        <v>154</v>
      </c>
      <c r="I629" s="7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0">
        <f t="shared" si="38"/>
        <v>40345.208333333336</v>
      </c>
      <c r="O629" s="10">
        <f t="shared" si="39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 "/",)</f>
        <v>food</v>
      </c>
      <c r="T629" t="str">
        <v>food trucks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6"/>
        <v>1.5178947368421052</v>
      </c>
      <c r="G630" t="s">
        <v>20</v>
      </c>
      <c r="H630">
        <v>96</v>
      </c>
      <c r="I630" s="7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0">
        <f t="shared" si="38"/>
        <v>40455.208333333336</v>
      </c>
      <c r="O630" s="10">
        <f t="shared" si="39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 "/",)</f>
        <v>music</v>
      </c>
      <c r="T630" t="str">
        <v>indie rock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6"/>
        <v>0.64582072176949945</v>
      </c>
      <c r="G631" t="s">
        <v>14</v>
      </c>
      <c r="H631">
        <v>750</v>
      </c>
      <c r="I631" s="7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0">
        <f t="shared" si="38"/>
        <v>42557.208333333328</v>
      </c>
      <c r="O631" s="10">
        <f t="shared" si="39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 "/",)</f>
        <v>theater</v>
      </c>
      <c r="T631" t="str">
        <v>plays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6"/>
        <v>0.62873684210526315</v>
      </c>
      <c r="G632" t="s">
        <v>74</v>
      </c>
      <c r="H632">
        <v>87</v>
      </c>
      <c r="I632" s="7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0">
        <f t="shared" si="38"/>
        <v>43586.208333333328</v>
      </c>
      <c r="O632" s="10">
        <f t="shared" si="39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 "/",)</f>
        <v>theater</v>
      </c>
      <c r="T632" t="str">
        <v>plays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6"/>
        <v>3.1039864864864866</v>
      </c>
      <c r="G633" t="s">
        <v>20</v>
      </c>
      <c r="H633">
        <v>3063</v>
      </c>
      <c r="I633" s="7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0">
        <f t="shared" si="38"/>
        <v>43550.208333333328</v>
      </c>
      <c r="O633" s="10">
        <f t="shared" si="39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 "/",)</f>
        <v>theater</v>
      </c>
      <c r="T633" t="str">
        <v>plays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6"/>
        <v>0.42859916782246882</v>
      </c>
      <c r="G634" t="s">
        <v>47</v>
      </c>
      <c r="H634">
        <v>278</v>
      </c>
      <c r="I634" s="7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0">
        <f t="shared" si="38"/>
        <v>41945.208333333336</v>
      </c>
      <c r="O634" s="10">
        <f t="shared" si="39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 "/",)</f>
        <v>theater</v>
      </c>
      <c r="T634" t="str">
        <v>plays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6"/>
        <v>0.83119402985074631</v>
      </c>
      <c r="G635" t="s">
        <v>14</v>
      </c>
      <c r="H635">
        <v>105</v>
      </c>
      <c r="I635" s="7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0">
        <f t="shared" si="38"/>
        <v>42315.25</v>
      </c>
      <c r="O635" s="10">
        <f t="shared" si="39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 "/",)</f>
        <v>film &amp; video</v>
      </c>
      <c r="T635" t="str">
        <v>animation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6"/>
        <v>0.78531302876480547</v>
      </c>
      <c r="G636" t="s">
        <v>74</v>
      </c>
      <c r="H636">
        <v>1658</v>
      </c>
      <c r="I636" s="7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0">
        <f t="shared" si="38"/>
        <v>42819.208333333328</v>
      </c>
      <c r="O636" s="10">
        <f t="shared" si="39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 "/",)</f>
        <v>film &amp; video</v>
      </c>
      <c r="T636" t="str">
        <v>television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6"/>
        <v>1.1409352517985611</v>
      </c>
      <c r="G637" t="s">
        <v>20</v>
      </c>
      <c r="H637">
        <v>2266</v>
      </c>
      <c r="I637" s="7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0">
        <f t="shared" si="38"/>
        <v>41314.25</v>
      </c>
      <c r="O637" s="10">
        <f t="shared" si="39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 "/",)</f>
        <v>film &amp; video</v>
      </c>
      <c r="T637" t="str">
        <v>television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6"/>
        <v>0.64537683358624176</v>
      </c>
      <c r="G638" t="s">
        <v>14</v>
      </c>
      <c r="H638">
        <v>2604</v>
      </c>
      <c r="I638" s="7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0">
        <f t="shared" si="38"/>
        <v>40926.25</v>
      </c>
      <c r="O638" s="10">
        <f t="shared" si="39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 "/",)</f>
        <v>film &amp; video</v>
      </c>
      <c r="T638" t="str">
        <v>animation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6"/>
        <v>0.79411764705882348</v>
      </c>
      <c r="G639" t="s">
        <v>14</v>
      </c>
      <c r="H639">
        <v>65</v>
      </c>
      <c r="I639" s="7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0">
        <f t="shared" si="38"/>
        <v>42688.25</v>
      </c>
      <c r="O639" s="10">
        <f t="shared" si="39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 "/",)</f>
        <v>theater</v>
      </c>
      <c r="T639" t="str">
        <v>plays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6"/>
        <v>0.11419117647058824</v>
      </c>
      <c r="G640" t="s">
        <v>14</v>
      </c>
      <c r="H640">
        <v>94</v>
      </c>
      <c r="I640" s="7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0">
        <f t="shared" si="38"/>
        <v>40386.208333333336</v>
      </c>
      <c r="O640" s="10">
        <f t="shared" si="39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 "/",)</f>
        <v>theater</v>
      </c>
      <c r="T640" t="str">
        <v>plays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6"/>
        <v>0.56186046511627907</v>
      </c>
      <c r="G641" t="s">
        <v>47</v>
      </c>
      <c r="H641">
        <v>45</v>
      </c>
      <c r="I641" s="7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0">
        <f t="shared" si="38"/>
        <v>43309.208333333328</v>
      </c>
      <c r="O641" s="10">
        <f t="shared" si="39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 "/",)</f>
        <v>film &amp; video</v>
      </c>
      <c r="T641" t="str">
        <v>drama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6"/>
        <v>0.16501669449081802</v>
      </c>
      <c r="G642" t="s">
        <v>14</v>
      </c>
      <c r="H642">
        <v>257</v>
      </c>
      <c r="I642" s="7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0">
        <f t="shared" si="38"/>
        <v>42387.25</v>
      </c>
      <c r="O642" s="10">
        <f t="shared" si="39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 "/",)</f>
        <v>theater</v>
      </c>
      <c r="T642" t="str">
        <v>plays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40">E643/D643</f>
        <v>1.1996808510638297</v>
      </c>
      <c r="G643" t="s">
        <v>20</v>
      </c>
      <c r="H643">
        <v>194</v>
      </c>
      <c r="I643" s="7">
        <f t="shared" ref="I643:I706" si="41">E643/H643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0">
        <f t="shared" ref="N643:N706" si="42">(((L643/60)/60)/24)+DATE(1970,1,1)</f>
        <v>42786.25</v>
      </c>
      <c r="O643" s="10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 "/",)</f>
        <v>theater</v>
      </c>
      <c r="T643" t="str">
        <v>plays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0"/>
        <v>1.4545652173913044</v>
      </c>
      <c r="G644" t="s">
        <v>20</v>
      </c>
      <c r="H644">
        <v>129</v>
      </c>
      <c r="I644" s="7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0">
        <f t="shared" si="42"/>
        <v>43451.25</v>
      </c>
      <c r="O644" s="10">
        <f t="shared" si="43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 "/",)</f>
        <v>technology</v>
      </c>
      <c r="T644" t="str">
        <v>wearables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0"/>
        <v>2.2138255033557046</v>
      </c>
      <c r="G645" t="s">
        <v>20</v>
      </c>
      <c r="H645">
        <v>375</v>
      </c>
      <c r="I645" s="7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0">
        <f t="shared" si="42"/>
        <v>42795.25</v>
      </c>
      <c r="O645" s="10">
        <f t="shared" si="43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 "/",)</f>
        <v>theater</v>
      </c>
      <c r="T645" t="str">
        <v>plays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0"/>
        <v>0.48396694214876035</v>
      </c>
      <c r="G646" t="s">
        <v>14</v>
      </c>
      <c r="H646">
        <v>2928</v>
      </c>
      <c r="I646" s="7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10">
        <f t="shared" si="42"/>
        <v>43452.25</v>
      </c>
      <c r="O646" s="10">
        <f t="shared" si="43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 "/",)</f>
        <v>theater</v>
      </c>
      <c r="T646" t="str">
        <v>plays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0"/>
        <v>0.92911504424778757</v>
      </c>
      <c r="G647" t="s">
        <v>14</v>
      </c>
      <c r="H647">
        <v>4697</v>
      </c>
      <c r="I647" s="7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0">
        <f t="shared" si="42"/>
        <v>43369.208333333328</v>
      </c>
      <c r="O647" s="10">
        <f t="shared" si="43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 "/",)</f>
        <v>music</v>
      </c>
      <c r="T647" t="str">
        <v>rock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0"/>
        <v>0.88599797365754818</v>
      </c>
      <c r="G648" t="s">
        <v>14</v>
      </c>
      <c r="H648">
        <v>2915</v>
      </c>
      <c r="I648" s="7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0">
        <f t="shared" si="42"/>
        <v>41346.208333333336</v>
      </c>
      <c r="O648" s="10">
        <f t="shared" si="43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 "/",)</f>
        <v>games</v>
      </c>
      <c r="T648" t="str">
        <v>video games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0"/>
        <v>0.41399999999999998</v>
      </c>
      <c r="G649" t="s">
        <v>14</v>
      </c>
      <c r="H649">
        <v>18</v>
      </c>
      <c r="I649" s="7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10">
        <f t="shared" si="42"/>
        <v>43199.208333333328</v>
      </c>
      <c r="O649" s="10">
        <f t="shared" si="43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 "/",)</f>
        <v>publishing</v>
      </c>
      <c r="T649" t="str">
        <v>translations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0"/>
        <v>0.63056795131845844</v>
      </c>
      <c r="G650" t="s">
        <v>74</v>
      </c>
      <c r="H650">
        <v>723</v>
      </c>
      <c r="I650" s="7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0">
        <f t="shared" si="42"/>
        <v>42922.208333333328</v>
      </c>
      <c r="O650" s="10">
        <f t="shared" si="43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 "/",)</f>
        <v>food</v>
      </c>
      <c r="T650" t="str">
        <v>food trucks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0"/>
        <v>0.48482333607230893</v>
      </c>
      <c r="G651" t="s">
        <v>14</v>
      </c>
      <c r="H651">
        <v>602</v>
      </c>
      <c r="I651" s="7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0">
        <f t="shared" si="42"/>
        <v>40471.208333333336</v>
      </c>
      <c r="O651" s="10">
        <f t="shared" si="43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 "/",)</f>
        <v>theater</v>
      </c>
      <c r="T651" t="str">
        <v>plays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0"/>
        <v>0.02</v>
      </c>
      <c r="G652" t="s">
        <v>14</v>
      </c>
      <c r="H652">
        <v>1</v>
      </c>
      <c r="I652" s="7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10">
        <f t="shared" si="42"/>
        <v>41828.208333333336</v>
      </c>
      <c r="O652" s="10">
        <f t="shared" si="43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 "/",)</f>
        <v>music</v>
      </c>
      <c r="T652" t="str">
        <v>jazz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0"/>
        <v>0.88479410269445857</v>
      </c>
      <c r="G653" t="s">
        <v>14</v>
      </c>
      <c r="H653">
        <v>3868</v>
      </c>
      <c r="I653" s="7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0">
        <f t="shared" si="42"/>
        <v>41692.25</v>
      </c>
      <c r="O653" s="10">
        <f t="shared" si="43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 "/",)</f>
        <v>film &amp; video</v>
      </c>
      <c r="T653" t="str">
        <v>shorts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0"/>
        <v>1.2684</v>
      </c>
      <c r="G654" t="s">
        <v>20</v>
      </c>
      <c r="H654">
        <v>409</v>
      </c>
      <c r="I654" s="7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0">
        <f t="shared" si="42"/>
        <v>42587.208333333328</v>
      </c>
      <c r="O654" s="10">
        <f t="shared" si="43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 "/",)</f>
        <v>technology</v>
      </c>
      <c r="T654" t="str">
        <v>web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0"/>
        <v>23.388333333333332</v>
      </c>
      <c r="G655" t="s">
        <v>20</v>
      </c>
      <c r="H655">
        <v>234</v>
      </c>
      <c r="I655" s="7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0">
        <f t="shared" si="42"/>
        <v>42468.208333333328</v>
      </c>
      <c r="O655" s="10">
        <f t="shared" si="43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 "/",)</f>
        <v>technology</v>
      </c>
      <c r="T655" t="str">
        <v>web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0"/>
        <v>5.0838857142857146</v>
      </c>
      <c r="G656" t="s">
        <v>20</v>
      </c>
      <c r="H656">
        <v>3016</v>
      </c>
      <c r="I656" s="7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0">
        <f t="shared" si="42"/>
        <v>42240.208333333328</v>
      </c>
      <c r="O656" s="10">
        <f t="shared" si="43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 "/",)</f>
        <v>music</v>
      </c>
      <c r="T656" t="str">
        <v>metal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0"/>
        <v>1.9147826086956521</v>
      </c>
      <c r="G657" t="s">
        <v>20</v>
      </c>
      <c r="H657">
        <v>264</v>
      </c>
      <c r="I657" s="7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0">
        <f t="shared" si="42"/>
        <v>42796.25</v>
      </c>
      <c r="O657" s="10">
        <f t="shared" si="43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 "/",)</f>
        <v>photography</v>
      </c>
      <c r="T657" t="str">
        <v>photography books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0"/>
        <v>0.42127533783783783</v>
      </c>
      <c r="G658" t="s">
        <v>14</v>
      </c>
      <c r="H658">
        <v>504</v>
      </c>
      <c r="I658" s="7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0">
        <f t="shared" si="42"/>
        <v>43097.25</v>
      </c>
      <c r="O658" s="10">
        <f t="shared" si="43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 "/",)</f>
        <v>food</v>
      </c>
      <c r="T658" t="str">
        <v>food trucks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0"/>
        <v>8.2400000000000001E-2</v>
      </c>
      <c r="G659" t="s">
        <v>14</v>
      </c>
      <c r="H659">
        <v>14</v>
      </c>
      <c r="I659" s="7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0">
        <f t="shared" si="42"/>
        <v>43096.25</v>
      </c>
      <c r="O659" s="10">
        <f t="shared" si="43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 "/",)</f>
        <v>film &amp; video</v>
      </c>
      <c r="T659" t="str">
        <v>science fiction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0"/>
        <v>0.60064638783269964</v>
      </c>
      <c r="G660" t="s">
        <v>74</v>
      </c>
      <c r="H660">
        <v>390</v>
      </c>
      <c r="I660" s="7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0">
        <f t="shared" si="42"/>
        <v>42246.208333333328</v>
      </c>
      <c r="O660" s="10">
        <f t="shared" si="43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 "/",)</f>
        <v>music</v>
      </c>
      <c r="T660" t="str">
        <v>rock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0"/>
        <v>0.47232808616404309</v>
      </c>
      <c r="G661" t="s">
        <v>14</v>
      </c>
      <c r="H661">
        <v>750</v>
      </c>
      <c r="I661" s="7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0">
        <f t="shared" si="42"/>
        <v>40570.25</v>
      </c>
      <c r="O661" s="10">
        <f t="shared" si="43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 "/",)</f>
        <v>film &amp; video</v>
      </c>
      <c r="T661" t="str">
        <v>documentary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0"/>
        <v>0.81736263736263737</v>
      </c>
      <c r="G662" t="s">
        <v>14</v>
      </c>
      <c r="H662">
        <v>77</v>
      </c>
      <c r="I662" s="7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0">
        <f t="shared" si="42"/>
        <v>42237.208333333328</v>
      </c>
      <c r="O662" s="10">
        <f t="shared" si="43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 "/",)</f>
        <v>theater</v>
      </c>
      <c r="T662" t="str">
        <v>plays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0"/>
        <v>0.54187265917603</v>
      </c>
      <c r="G663" t="s">
        <v>14</v>
      </c>
      <c r="H663">
        <v>752</v>
      </c>
      <c r="I663" s="7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0">
        <f t="shared" si="42"/>
        <v>40996.208333333336</v>
      </c>
      <c r="O663" s="10">
        <f t="shared" si="43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 "/",)</f>
        <v>music</v>
      </c>
      <c r="T663" t="str">
        <v>jazz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0"/>
        <v>0.97868131868131869</v>
      </c>
      <c r="G664" t="s">
        <v>14</v>
      </c>
      <c r="H664">
        <v>131</v>
      </c>
      <c r="I664" s="7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0">
        <f t="shared" si="42"/>
        <v>43443.25</v>
      </c>
      <c r="O664" s="10">
        <f t="shared" si="43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 "/",)</f>
        <v>theater</v>
      </c>
      <c r="T664" t="str">
        <v>plays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0"/>
        <v>0.77239999999999998</v>
      </c>
      <c r="G665" t="s">
        <v>14</v>
      </c>
      <c r="H665">
        <v>87</v>
      </c>
      <c r="I665" s="7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0">
        <f t="shared" si="42"/>
        <v>40458.208333333336</v>
      </c>
      <c r="O665" s="10">
        <f t="shared" si="43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 "/",)</f>
        <v>theater</v>
      </c>
      <c r="T665" t="str">
        <v>plays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0"/>
        <v>0.33464735516372796</v>
      </c>
      <c r="G666" t="s">
        <v>14</v>
      </c>
      <c r="H666">
        <v>1063</v>
      </c>
      <c r="I666" s="7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0">
        <f t="shared" si="42"/>
        <v>40959.25</v>
      </c>
      <c r="O666" s="10">
        <f t="shared" si="43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 "/",)</f>
        <v>music</v>
      </c>
      <c r="T666" t="str">
        <v>jazz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0"/>
        <v>2.3958823529411766</v>
      </c>
      <c r="G667" t="s">
        <v>20</v>
      </c>
      <c r="H667">
        <v>272</v>
      </c>
      <c r="I667" s="7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0">
        <f t="shared" si="42"/>
        <v>40733.208333333336</v>
      </c>
      <c r="O667" s="10">
        <f t="shared" si="43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 "/",)</f>
        <v>film &amp; video</v>
      </c>
      <c r="T667" t="str">
        <v>documentary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0"/>
        <v>0.64032258064516134</v>
      </c>
      <c r="G668" t="s">
        <v>74</v>
      </c>
      <c r="H668">
        <v>25</v>
      </c>
      <c r="I668" s="7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0">
        <f t="shared" si="42"/>
        <v>41516.208333333336</v>
      </c>
      <c r="O668" s="10">
        <f t="shared" si="43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 "/",)</f>
        <v>theater</v>
      </c>
      <c r="T668" t="str">
        <v>plays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0"/>
        <v>1.7615942028985507</v>
      </c>
      <c r="G669" t="s">
        <v>20</v>
      </c>
      <c r="H669">
        <v>419</v>
      </c>
      <c r="I669" s="7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0">
        <f t="shared" si="42"/>
        <v>41892.208333333336</v>
      </c>
      <c r="O669" s="10">
        <f t="shared" si="43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 "/",)</f>
        <v>journalism</v>
      </c>
      <c r="T669" t="str">
        <v>audio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0"/>
        <v>0.20338181818181819</v>
      </c>
      <c r="G670" t="s">
        <v>14</v>
      </c>
      <c r="H670">
        <v>76</v>
      </c>
      <c r="I670" s="7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0">
        <f t="shared" si="42"/>
        <v>41122.208333333336</v>
      </c>
      <c r="O670" s="10">
        <f t="shared" si="43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 "/",)</f>
        <v>theater</v>
      </c>
      <c r="T670" t="str">
        <v>plays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0"/>
        <v>3.5864754098360656</v>
      </c>
      <c r="G671" t="s">
        <v>20</v>
      </c>
      <c r="H671">
        <v>1621</v>
      </c>
      <c r="I671" s="7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0">
        <f t="shared" si="42"/>
        <v>42912.208333333328</v>
      </c>
      <c r="O671" s="10">
        <f t="shared" si="43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 "/",)</f>
        <v>theater</v>
      </c>
      <c r="T671" t="str">
        <v>plays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0"/>
        <v>4.6885802469135802</v>
      </c>
      <c r="G672" t="s">
        <v>20</v>
      </c>
      <c r="H672">
        <v>1101</v>
      </c>
      <c r="I672" s="7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0">
        <f t="shared" si="42"/>
        <v>42425.25</v>
      </c>
      <c r="O672" s="10">
        <f t="shared" si="43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 "/",)</f>
        <v>music</v>
      </c>
      <c r="T672" t="str">
        <v>indie rock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0"/>
        <v>1.220563524590164</v>
      </c>
      <c r="G673" t="s">
        <v>20</v>
      </c>
      <c r="H673">
        <v>1073</v>
      </c>
      <c r="I673" s="7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0">
        <f t="shared" si="42"/>
        <v>40390.208333333336</v>
      </c>
      <c r="O673" s="10">
        <f t="shared" si="43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 "/",)</f>
        <v>theater</v>
      </c>
      <c r="T673" t="str">
        <v>plays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0"/>
        <v>0.55931783729156137</v>
      </c>
      <c r="G674" t="s">
        <v>14</v>
      </c>
      <c r="H674">
        <v>4428</v>
      </c>
      <c r="I674" s="7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0">
        <f t="shared" si="42"/>
        <v>43180.208333333328</v>
      </c>
      <c r="O674" s="10">
        <f t="shared" si="43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 "/",)</f>
        <v>theater</v>
      </c>
      <c r="T674" t="str">
        <v>plays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0"/>
        <v>0.43660714285714286</v>
      </c>
      <c r="G675" t="s">
        <v>14</v>
      </c>
      <c r="H675">
        <v>58</v>
      </c>
      <c r="I675" s="7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0">
        <f t="shared" si="42"/>
        <v>42475.208333333328</v>
      </c>
      <c r="O675" s="10">
        <f t="shared" si="43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 "/",)</f>
        <v>music</v>
      </c>
      <c r="T675" t="str">
        <v>indie rock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0"/>
        <v>0.33538371411833628</v>
      </c>
      <c r="G676" t="s">
        <v>74</v>
      </c>
      <c r="H676">
        <v>1218</v>
      </c>
      <c r="I676" s="7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0">
        <f t="shared" si="42"/>
        <v>40774.208333333336</v>
      </c>
      <c r="O676" s="10">
        <f t="shared" si="43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 "/",)</f>
        <v>photography</v>
      </c>
      <c r="T676" t="str">
        <v>photography books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0"/>
        <v>1.2297938144329896</v>
      </c>
      <c r="G677" t="s">
        <v>20</v>
      </c>
      <c r="H677">
        <v>331</v>
      </c>
      <c r="I677" s="7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0">
        <f t="shared" si="42"/>
        <v>43719.208333333328</v>
      </c>
      <c r="O677" s="10">
        <f t="shared" si="43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 "/",)</f>
        <v>journalism</v>
      </c>
      <c r="T677" t="str">
        <v>audio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0"/>
        <v>1.8974959871589085</v>
      </c>
      <c r="G678" t="s">
        <v>20</v>
      </c>
      <c r="H678">
        <v>1170</v>
      </c>
      <c r="I678" s="7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0">
        <f t="shared" si="42"/>
        <v>41178.208333333336</v>
      </c>
      <c r="O678" s="10">
        <f t="shared" si="43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 "/",)</f>
        <v>photography</v>
      </c>
      <c r="T678" t="str">
        <v>photography books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0"/>
        <v>0.83622641509433959</v>
      </c>
      <c r="G679" t="s">
        <v>14</v>
      </c>
      <c r="H679">
        <v>111</v>
      </c>
      <c r="I679" s="7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0">
        <f t="shared" si="42"/>
        <v>42561.208333333328</v>
      </c>
      <c r="O679" s="10">
        <f t="shared" si="43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 "/",)</f>
        <v>publishing</v>
      </c>
      <c r="T679" t="str">
        <v>fiction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0"/>
        <v>0.17968844221105529</v>
      </c>
      <c r="G680" t="s">
        <v>74</v>
      </c>
      <c r="H680">
        <v>215</v>
      </c>
      <c r="I680" s="7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0">
        <f t="shared" si="42"/>
        <v>43484.25</v>
      </c>
      <c r="O680" s="10">
        <f t="shared" si="43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 "/",)</f>
        <v>film &amp; video</v>
      </c>
      <c r="T680" t="str">
        <v>drama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0"/>
        <v>10.365</v>
      </c>
      <c r="G681" t="s">
        <v>20</v>
      </c>
      <c r="H681">
        <v>363</v>
      </c>
      <c r="I681" s="7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0">
        <f t="shared" si="42"/>
        <v>43756.208333333328</v>
      </c>
      <c r="O681" s="10">
        <f t="shared" si="43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 "/",)</f>
        <v>food</v>
      </c>
      <c r="T681" t="str">
        <v>food trucks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0"/>
        <v>0.97405219780219776</v>
      </c>
      <c r="G682" t="s">
        <v>14</v>
      </c>
      <c r="H682">
        <v>2955</v>
      </c>
      <c r="I682" s="7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0">
        <f t="shared" si="42"/>
        <v>43813.25</v>
      </c>
      <c r="O682" s="10">
        <f t="shared" si="43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 "/",)</f>
        <v>games</v>
      </c>
      <c r="T682" t="str">
        <v>mobile games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0"/>
        <v>0.86386203150461705</v>
      </c>
      <c r="G683" t="s">
        <v>14</v>
      </c>
      <c r="H683">
        <v>1657</v>
      </c>
      <c r="I683" s="7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0">
        <f t="shared" si="42"/>
        <v>40898.25</v>
      </c>
      <c r="O683" s="10">
        <f t="shared" si="43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 "/",)</f>
        <v>theater</v>
      </c>
      <c r="T683" t="str">
        <v>plays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0"/>
        <v>1.5016666666666667</v>
      </c>
      <c r="G684" t="s">
        <v>20</v>
      </c>
      <c r="H684">
        <v>103</v>
      </c>
      <c r="I684" s="7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0">
        <f t="shared" si="42"/>
        <v>41619.25</v>
      </c>
      <c r="O684" s="10">
        <f t="shared" si="43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 "/",)</f>
        <v>theater</v>
      </c>
      <c r="T684" t="str">
        <v>plays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0"/>
        <v>3.5843478260869563</v>
      </c>
      <c r="G685" t="s">
        <v>20</v>
      </c>
      <c r="H685">
        <v>147</v>
      </c>
      <c r="I685" s="7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0">
        <f t="shared" si="42"/>
        <v>43359.208333333328</v>
      </c>
      <c r="O685" s="10">
        <f t="shared" si="43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 "/",)</f>
        <v>theater</v>
      </c>
      <c r="T685" t="str">
        <v>plays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0"/>
        <v>5.4285714285714288</v>
      </c>
      <c r="G686" t="s">
        <v>20</v>
      </c>
      <c r="H686">
        <v>110</v>
      </c>
      <c r="I686" s="7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0">
        <f t="shared" si="42"/>
        <v>40358.208333333336</v>
      </c>
      <c r="O686" s="10">
        <f t="shared" si="43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 "/",)</f>
        <v>publishing</v>
      </c>
      <c r="T686" t="str">
        <v>nonfiction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0"/>
        <v>0.67500714285714281</v>
      </c>
      <c r="G687" t="s">
        <v>14</v>
      </c>
      <c r="H687">
        <v>926</v>
      </c>
      <c r="I687" s="7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0">
        <f t="shared" si="42"/>
        <v>42239.208333333328</v>
      </c>
      <c r="O687" s="10">
        <f t="shared" si="43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 "/",)</f>
        <v>theater</v>
      </c>
      <c r="T687" t="str">
        <v>plays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0"/>
        <v>1.9174666666666667</v>
      </c>
      <c r="G688" t="s">
        <v>20</v>
      </c>
      <c r="H688">
        <v>134</v>
      </c>
      <c r="I688" s="7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0">
        <f t="shared" si="42"/>
        <v>43186.208333333328</v>
      </c>
      <c r="O688" s="10">
        <f t="shared" si="43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 "/",)</f>
        <v>technology</v>
      </c>
      <c r="T688" t="str">
        <v>wearables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0"/>
        <v>9.32</v>
      </c>
      <c r="G689" t="s">
        <v>20</v>
      </c>
      <c r="H689">
        <v>269</v>
      </c>
      <c r="I689" s="7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0">
        <f t="shared" si="42"/>
        <v>42806.25</v>
      </c>
      <c r="O689" s="10">
        <f t="shared" si="43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 "/",)</f>
        <v>theater</v>
      </c>
      <c r="T689" t="str">
        <v>plays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0"/>
        <v>4.2927586206896553</v>
      </c>
      <c r="G690" t="s">
        <v>20</v>
      </c>
      <c r="H690">
        <v>175</v>
      </c>
      <c r="I690" s="7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0">
        <f t="shared" si="42"/>
        <v>43475.25</v>
      </c>
      <c r="O690" s="10">
        <f t="shared" si="43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 "/",)</f>
        <v>film &amp; video</v>
      </c>
      <c r="T690" t="str">
        <v>television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0"/>
        <v>1.0065753424657535</v>
      </c>
      <c r="G691" t="s">
        <v>20</v>
      </c>
      <c r="H691">
        <v>69</v>
      </c>
      <c r="I691" s="7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0">
        <f t="shared" si="42"/>
        <v>41576.208333333336</v>
      </c>
      <c r="O691" s="10">
        <f t="shared" si="43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 "/",)</f>
        <v>technology</v>
      </c>
      <c r="T691" t="str">
        <v>web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0"/>
        <v>2.266111111111111</v>
      </c>
      <c r="G692" t="s">
        <v>20</v>
      </c>
      <c r="H692">
        <v>190</v>
      </c>
      <c r="I692" s="7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0">
        <f t="shared" si="42"/>
        <v>40874.25</v>
      </c>
      <c r="O692" s="10">
        <f t="shared" si="43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 "/",)</f>
        <v>film &amp; video</v>
      </c>
      <c r="T692" t="str">
        <v>documentary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0"/>
        <v>1.4238</v>
      </c>
      <c r="G693" t="s">
        <v>20</v>
      </c>
      <c r="H693">
        <v>237</v>
      </c>
      <c r="I693" s="7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0">
        <f t="shared" si="42"/>
        <v>41185.208333333336</v>
      </c>
      <c r="O693" s="10">
        <f t="shared" si="43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 "/",)</f>
        <v>film &amp; video</v>
      </c>
      <c r="T693" t="str">
        <v>documentary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0"/>
        <v>0.90633333333333332</v>
      </c>
      <c r="G694" t="s">
        <v>14</v>
      </c>
      <c r="H694">
        <v>77</v>
      </c>
      <c r="I694" s="7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0">
        <f t="shared" si="42"/>
        <v>43655.208333333328</v>
      </c>
      <c r="O694" s="10">
        <f t="shared" si="43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 "/",)</f>
        <v>music</v>
      </c>
      <c r="T694" t="str">
        <v>rock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0"/>
        <v>0.63966740576496672</v>
      </c>
      <c r="G695" t="s">
        <v>14</v>
      </c>
      <c r="H695">
        <v>1748</v>
      </c>
      <c r="I695" s="7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0">
        <f t="shared" si="42"/>
        <v>43025.208333333328</v>
      </c>
      <c r="O695" s="10">
        <f t="shared" si="43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 "/",)</f>
        <v>theater</v>
      </c>
      <c r="T695" t="str">
        <v>plays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0"/>
        <v>0.84131868131868137</v>
      </c>
      <c r="G696" t="s">
        <v>14</v>
      </c>
      <c r="H696">
        <v>79</v>
      </c>
      <c r="I696" s="7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0">
        <f t="shared" si="42"/>
        <v>43066.25</v>
      </c>
      <c r="O696" s="10">
        <f t="shared" si="43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 "/",)</f>
        <v>theater</v>
      </c>
      <c r="T696" t="str">
        <v>plays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0"/>
        <v>1.3393478260869565</v>
      </c>
      <c r="G697" t="s">
        <v>20</v>
      </c>
      <c r="H697">
        <v>196</v>
      </c>
      <c r="I697" s="7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0">
        <f t="shared" si="42"/>
        <v>42322.25</v>
      </c>
      <c r="O697" s="10">
        <f t="shared" si="43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 "/",)</f>
        <v>music</v>
      </c>
      <c r="T697" t="str">
        <v>rock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0"/>
        <v>0.59042047531992692</v>
      </c>
      <c r="G698" t="s">
        <v>14</v>
      </c>
      <c r="H698">
        <v>889</v>
      </c>
      <c r="I698" s="7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0">
        <f t="shared" si="42"/>
        <v>42114.208333333328</v>
      </c>
      <c r="O698" s="10">
        <f t="shared" si="43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 "/",)</f>
        <v>theater</v>
      </c>
      <c r="T698" t="str">
        <v>plays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0"/>
        <v>1.5280062063615205</v>
      </c>
      <c r="G699" t="s">
        <v>20</v>
      </c>
      <c r="H699">
        <v>7295</v>
      </c>
      <c r="I699" s="7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0">
        <f t="shared" si="42"/>
        <v>43190.208333333328</v>
      </c>
      <c r="O699" s="10">
        <f t="shared" si="43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 "/",)</f>
        <v>music</v>
      </c>
      <c r="T699" t="str">
        <v>electric music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0"/>
        <v>4.466912114014252</v>
      </c>
      <c r="G700" t="s">
        <v>20</v>
      </c>
      <c r="H700">
        <v>2893</v>
      </c>
      <c r="I700" s="7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0">
        <f t="shared" si="42"/>
        <v>40871.25</v>
      </c>
      <c r="O700" s="10">
        <f t="shared" si="43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 "/",)</f>
        <v>technology</v>
      </c>
      <c r="T700" t="str">
        <v>wearables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0"/>
        <v>0.8439189189189189</v>
      </c>
      <c r="G701" t="s">
        <v>14</v>
      </c>
      <c r="H701">
        <v>56</v>
      </c>
      <c r="I701" s="7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0">
        <f t="shared" si="42"/>
        <v>43641.208333333328</v>
      </c>
      <c r="O701" s="10">
        <f t="shared" si="43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 "/",)</f>
        <v>film &amp; video</v>
      </c>
      <c r="T701" t="str">
        <v>drama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0"/>
        <v>0.03</v>
      </c>
      <c r="G702" t="s">
        <v>14</v>
      </c>
      <c r="H702">
        <v>1</v>
      </c>
      <c r="I702" s="7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10">
        <f t="shared" si="42"/>
        <v>40203.25</v>
      </c>
      <c r="O702" s="10">
        <f t="shared" si="43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 "/",)</f>
        <v>technology</v>
      </c>
      <c r="T702" t="str">
        <v>wearables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0"/>
        <v>1.7502692307692307</v>
      </c>
      <c r="G703" t="s">
        <v>20</v>
      </c>
      <c r="H703">
        <v>820</v>
      </c>
      <c r="I703" s="7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0">
        <f t="shared" si="42"/>
        <v>40629.208333333336</v>
      </c>
      <c r="O703" s="10">
        <f t="shared" si="43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 "/",)</f>
        <v>theater</v>
      </c>
      <c r="T703" t="str">
        <v>plays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0"/>
        <v>0.54137931034482756</v>
      </c>
      <c r="G704" t="s">
        <v>14</v>
      </c>
      <c r="H704">
        <v>83</v>
      </c>
      <c r="I704" s="7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0">
        <f t="shared" si="42"/>
        <v>41477.208333333336</v>
      </c>
      <c r="O704" s="10">
        <f t="shared" si="43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 "/",)</f>
        <v>technology</v>
      </c>
      <c r="T704" t="str">
        <v>wearables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0"/>
        <v>3.1187381703470032</v>
      </c>
      <c r="G705" t="s">
        <v>20</v>
      </c>
      <c r="H705">
        <v>2038</v>
      </c>
      <c r="I705" s="7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0">
        <f t="shared" si="42"/>
        <v>41020.208333333336</v>
      </c>
      <c r="O705" s="10">
        <f t="shared" si="43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 "/",)</f>
        <v>publishing</v>
      </c>
      <c r="T705" t="str">
        <v>translations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0"/>
        <v>1.2278160919540231</v>
      </c>
      <c r="G706" t="s">
        <v>20</v>
      </c>
      <c r="H706">
        <v>116</v>
      </c>
      <c r="I706" s="7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0">
        <f t="shared" si="42"/>
        <v>42555.208333333328</v>
      </c>
      <c r="O706" s="10">
        <f t="shared" si="43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 "/",)</f>
        <v>film &amp; video</v>
      </c>
      <c r="T706" t="str">
        <v>animation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44">E707/D707</f>
        <v>0.99026517383618151</v>
      </c>
      <c r="G707" t="s">
        <v>14</v>
      </c>
      <c r="H707">
        <v>2025</v>
      </c>
      <c r="I707" s="7">
        <f t="shared" ref="I707:I770" si="45">E707/H707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0">
        <f t="shared" ref="N707:N770" si="46">(((L707/60)/60)/24)+DATE(1970,1,1)</f>
        <v>41619.25</v>
      </c>
      <c r="O707" s="10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 "/",)</f>
        <v>publishing</v>
      </c>
      <c r="T707" t="str">
        <v>nonfiction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4"/>
        <v>1.278468634686347</v>
      </c>
      <c r="G708" t="s">
        <v>20</v>
      </c>
      <c r="H708">
        <v>1345</v>
      </c>
      <c r="I708" s="7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0">
        <f t="shared" si="46"/>
        <v>43471.25</v>
      </c>
      <c r="O708" s="10">
        <f t="shared" si="47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 "/",)</f>
        <v>technology</v>
      </c>
      <c r="T708" t="str">
        <v>web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4"/>
        <v>1.5861643835616439</v>
      </c>
      <c r="G709" t="s">
        <v>20</v>
      </c>
      <c r="H709">
        <v>168</v>
      </c>
      <c r="I709" s="7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0">
        <f t="shared" si="46"/>
        <v>43442.25</v>
      </c>
      <c r="O709" s="10">
        <f t="shared" si="47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 "/",)</f>
        <v>film &amp; video</v>
      </c>
      <c r="T709" t="str">
        <v>drama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4"/>
        <v>7.0705882352941174</v>
      </c>
      <c r="G710" t="s">
        <v>20</v>
      </c>
      <c r="H710">
        <v>137</v>
      </c>
      <c r="I710" s="7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0">
        <f t="shared" si="46"/>
        <v>42877.208333333328</v>
      </c>
      <c r="O710" s="10">
        <f t="shared" si="47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 "/",)</f>
        <v>theater</v>
      </c>
      <c r="T710" t="str">
        <v>plays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4"/>
        <v>1.4238775510204082</v>
      </c>
      <c r="G711" t="s">
        <v>20</v>
      </c>
      <c r="H711">
        <v>186</v>
      </c>
      <c r="I711" s="7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0">
        <f t="shared" si="46"/>
        <v>41018.208333333336</v>
      </c>
      <c r="O711" s="10">
        <f t="shared" si="47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 "/",)</f>
        <v>theater</v>
      </c>
      <c r="T711" t="str">
        <v>plays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4"/>
        <v>1.4786046511627906</v>
      </c>
      <c r="G712" t="s">
        <v>20</v>
      </c>
      <c r="H712">
        <v>125</v>
      </c>
      <c r="I712" s="7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0">
        <f t="shared" si="46"/>
        <v>43295.208333333328</v>
      </c>
      <c r="O712" s="10">
        <f t="shared" si="47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 "/",)</f>
        <v>theater</v>
      </c>
      <c r="T712" t="str">
        <v>plays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4"/>
        <v>0.20322580645161289</v>
      </c>
      <c r="G713" t="s">
        <v>14</v>
      </c>
      <c r="H713">
        <v>14</v>
      </c>
      <c r="I713" s="7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s="10">
        <f t="shared" si="46"/>
        <v>42393.25</v>
      </c>
      <c r="O713" s="10">
        <f t="shared" si="47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 "/",)</f>
        <v>theater</v>
      </c>
      <c r="T713" t="str">
        <v>plays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4"/>
        <v>18.40625</v>
      </c>
      <c r="G714" t="s">
        <v>20</v>
      </c>
      <c r="H714">
        <v>202</v>
      </c>
      <c r="I714" s="7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0">
        <f t="shared" si="46"/>
        <v>42559.208333333328</v>
      </c>
      <c r="O714" s="10">
        <f t="shared" si="47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 "/",)</f>
        <v>theater</v>
      </c>
      <c r="T714" t="str">
        <v>plays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4"/>
        <v>1.6194202898550725</v>
      </c>
      <c r="G715" t="s">
        <v>20</v>
      </c>
      <c r="H715">
        <v>103</v>
      </c>
      <c r="I715" s="7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0">
        <f t="shared" si="46"/>
        <v>42604.208333333328</v>
      </c>
      <c r="O715" s="10">
        <f t="shared" si="47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 "/",)</f>
        <v>publishing</v>
      </c>
      <c r="T715" t="str">
        <v>radio &amp; podcasts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4"/>
        <v>4.7282077922077921</v>
      </c>
      <c r="G716" t="s">
        <v>20</v>
      </c>
      <c r="H716">
        <v>1785</v>
      </c>
      <c r="I716" s="7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0">
        <f t="shared" si="46"/>
        <v>41870.208333333336</v>
      </c>
      <c r="O716" s="10">
        <f t="shared" si="47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 "/",)</f>
        <v>music</v>
      </c>
      <c r="T716" t="str">
        <v>rock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4"/>
        <v>0.24466101694915254</v>
      </c>
      <c r="G717" t="s">
        <v>14</v>
      </c>
      <c r="H717">
        <v>656</v>
      </c>
      <c r="I717" s="7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0">
        <f t="shared" si="46"/>
        <v>40397.208333333336</v>
      </c>
      <c r="O717" s="10">
        <f t="shared" si="47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 "/",)</f>
        <v>games</v>
      </c>
      <c r="T717" t="str">
        <v>mobile games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4"/>
        <v>5.1764999999999999</v>
      </c>
      <c r="G718" t="s">
        <v>20</v>
      </c>
      <c r="H718">
        <v>157</v>
      </c>
      <c r="I718" s="7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0">
        <f t="shared" si="46"/>
        <v>41465.208333333336</v>
      </c>
      <c r="O718" s="10">
        <f t="shared" si="47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 "/",)</f>
        <v>theater</v>
      </c>
      <c r="T718" t="str">
        <v>plays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4"/>
        <v>2.4764285714285714</v>
      </c>
      <c r="G719" t="s">
        <v>20</v>
      </c>
      <c r="H719">
        <v>555</v>
      </c>
      <c r="I719" s="7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0">
        <f t="shared" si="46"/>
        <v>40777.208333333336</v>
      </c>
      <c r="O719" s="10">
        <f t="shared" si="47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 "/",)</f>
        <v>film &amp; video</v>
      </c>
      <c r="T719" t="str">
        <v>documentary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4"/>
        <v>1.0020481927710843</v>
      </c>
      <c r="G720" t="s">
        <v>20</v>
      </c>
      <c r="H720">
        <v>297</v>
      </c>
      <c r="I720" s="7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0">
        <f t="shared" si="46"/>
        <v>41442.208333333336</v>
      </c>
      <c r="O720" s="10">
        <f t="shared" si="47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 "/",)</f>
        <v>technology</v>
      </c>
      <c r="T720" t="str">
        <v>wearables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4"/>
        <v>1.53</v>
      </c>
      <c r="G721" t="s">
        <v>20</v>
      </c>
      <c r="H721">
        <v>123</v>
      </c>
      <c r="I721" s="7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0">
        <f t="shared" si="46"/>
        <v>41058.208333333336</v>
      </c>
      <c r="O721" s="10">
        <f t="shared" si="47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 "/",)</f>
        <v>publishing</v>
      </c>
      <c r="T721" t="str">
        <v>fiction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4"/>
        <v>0.37091954022988505</v>
      </c>
      <c r="G722" t="s">
        <v>74</v>
      </c>
      <c r="H722">
        <v>38</v>
      </c>
      <c r="I722" s="7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0">
        <f t="shared" si="46"/>
        <v>43152.25</v>
      </c>
      <c r="O722" s="10">
        <f t="shared" si="47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 "/",)</f>
        <v>theater</v>
      </c>
      <c r="T722" t="str">
        <v>plays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4.3923948220064728E-2</v>
      </c>
      <c r="G723" t="s">
        <v>74</v>
      </c>
      <c r="H723">
        <v>60</v>
      </c>
      <c r="I723" s="7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0">
        <f t="shared" si="46"/>
        <v>43194.208333333328</v>
      </c>
      <c r="O723" s="10">
        <f t="shared" si="47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 "/",)</f>
        <v>music</v>
      </c>
      <c r="T723" t="str">
        <v>rock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4"/>
        <v>1.5650721649484536</v>
      </c>
      <c r="G724" t="s">
        <v>20</v>
      </c>
      <c r="H724">
        <v>3036</v>
      </c>
      <c r="I724" s="7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0">
        <f t="shared" si="46"/>
        <v>43045.25</v>
      </c>
      <c r="O724" s="10">
        <f t="shared" si="47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 "/",)</f>
        <v>film &amp; video</v>
      </c>
      <c r="T724" t="str">
        <v>documentary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4"/>
        <v>2.704081632653061</v>
      </c>
      <c r="G725" t="s">
        <v>20</v>
      </c>
      <c r="H725">
        <v>144</v>
      </c>
      <c r="I725" s="7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0">
        <f t="shared" si="46"/>
        <v>42431.25</v>
      </c>
      <c r="O725" s="10">
        <f t="shared" si="47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 "/",)</f>
        <v>theater</v>
      </c>
      <c r="T725" t="str">
        <v>plays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4"/>
        <v>1.3405952380952382</v>
      </c>
      <c r="G726" t="s">
        <v>20</v>
      </c>
      <c r="H726">
        <v>121</v>
      </c>
      <c r="I726" s="7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0">
        <f t="shared" si="46"/>
        <v>41934.208333333336</v>
      </c>
      <c r="O726" s="10">
        <f t="shared" si="47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 "/",)</f>
        <v>theater</v>
      </c>
      <c r="T726" t="str">
        <v>plays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4"/>
        <v>0.50398033126293995</v>
      </c>
      <c r="G727" t="s">
        <v>14</v>
      </c>
      <c r="H727">
        <v>1596</v>
      </c>
      <c r="I727" s="7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0">
        <f t="shared" si="46"/>
        <v>41958.25</v>
      </c>
      <c r="O727" s="10">
        <f t="shared" si="47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 "/",)</f>
        <v>games</v>
      </c>
      <c r="T727" t="str">
        <v>mobile games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4"/>
        <v>0.88815837937384901</v>
      </c>
      <c r="G728" t="s">
        <v>74</v>
      </c>
      <c r="H728">
        <v>524</v>
      </c>
      <c r="I728" s="7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0">
        <f t="shared" si="46"/>
        <v>40476.208333333336</v>
      </c>
      <c r="O728" s="10">
        <f t="shared" si="47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 "/",)</f>
        <v>theater</v>
      </c>
      <c r="T728" t="str">
        <v>plays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4"/>
        <v>1.65</v>
      </c>
      <c r="G729" t="s">
        <v>20</v>
      </c>
      <c r="H729">
        <v>181</v>
      </c>
      <c r="I729" s="7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0">
        <f t="shared" si="46"/>
        <v>43485.25</v>
      </c>
      <c r="O729" s="10">
        <f t="shared" si="47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 "/",)</f>
        <v>technology</v>
      </c>
      <c r="T729" t="str">
        <v>web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4"/>
        <v>0.17499999999999999</v>
      </c>
      <c r="G730" t="s">
        <v>14</v>
      </c>
      <c r="H730">
        <v>10</v>
      </c>
      <c r="I730" s="7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10">
        <f t="shared" si="46"/>
        <v>42515.208333333328</v>
      </c>
      <c r="O730" s="10">
        <f t="shared" si="47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 "/",)</f>
        <v>theater</v>
      </c>
      <c r="T730" t="str">
        <v>plays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4"/>
        <v>1.8566071428571429</v>
      </c>
      <c r="G731" t="s">
        <v>20</v>
      </c>
      <c r="H731">
        <v>122</v>
      </c>
      <c r="I731" s="7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0">
        <f t="shared" si="46"/>
        <v>41309.25</v>
      </c>
      <c r="O731" s="10">
        <f t="shared" si="47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 "/",)</f>
        <v>film &amp; video</v>
      </c>
      <c r="T731" t="str">
        <v>drama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4"/>
        <v>4.1266319444444441</v>
      </c>
      <c r="G732" t="s">
        <v>20</v>
      </c>
      <c r="H732">
        <v>1071</v>
      </c>
      <c r="I732" s="7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0">
        <f t="shared" si="46"/>
        <v>42147.208333333328</v>
      </c>
      <c r="O732" s="10">
        <f t="shared" si="47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 "/",)</f>
        <v>technology</v>
      </c>
      <c r="T732" t="str">
        <v>wearables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4"/>
        <v>0.90249999999999997</v>
      </c>
      <c r="G733" t="s">
        <v>74</v>
      </c>
      <c r="H733">
        <v>219</v>
      </c>
      <c r="I733" s="7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0">
        <f t="shared" si="46"/>
        <v>42939.208333333328</v>
      </c>
      <c r="O733" s="10">
        <f t="shared" si="47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 "/",)</f>
        <v>technology</v>
      </c>
      <c r="T733" t="str">
        <v>web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4"/>
        <v>0.91984615384615387</v>
      </c>
      <c r="G734" t="s">
        <v>14</v>
      </c>
      <c r="H734">
        <v>1121</v>
      </c>
      <c r="I734" s="7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0">
        <f t="shared" si="46"/>
        <v>42816.208333333328</v>
      </c>
      <c r="O734" s="10">
        <f t="shared" si="47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 "/",)</f>
        <v>music</v>
      </c>
      <c r="T734" t="str">
        <v>rock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4"/>
        <v>5.2700632911392402</v>
      </c>
      <c r="G735" t="s">
        <v>20</v>
      </c>
      <c r="H735">
        <v>980</v>
      </c>
      <c r="I735" s="7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0">
        <f t="shared" si="46"/>
        <v>41844.208333333336</v>
      </c>
      <c r="O735" s="10">
        <f t="shared" si="47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 "/",)</f>
        <v>music</v>
      </c>
      <c r="T735" t="str">
        <v>metal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4"/>
        <v>3.1914285714285713</v>
      </c>
      <c r="G736" t="s">
        <v>20</v>
      </c>
      <c r="H736">
        <v>536</v>
      </c>
      <c r="I736" s="7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0">
        <f t="shared" si="46"/>
        <v>42763.25</v>
      </c>
      <c r="O736" s="10">
        <f t="shared" si="47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 "/",)</f>
        <v>theater</v>
      </c>
      <c r="T736" t="str">
        <v>plays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4"/>
        <v>3.5418867924528303</v>
      </c>
      <c r="G737" t="s">
        <v>20</v>
      </c>
      <c r="H737">
        <v>1991</v>
      </c>
      <c r="I737" s="7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0">
        <f t="shared" si="46"/>
        <v>42459.208333333328</v>
      </c>
      <c r="O737" s="10">
        <f t="shared" si="47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 "/",)</f>
        <v>photography</v>
      </c>
      <c r="T737" t="str">
        <v>photography books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4"/>
        <v>0.32896103896103895</v>
      </c>
      <c r="G738" t="s">
        <v>74</v>
      </c>
      <c r="H738">
        <v>29</v>
      </c>
      <c r="I738" s="7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0">
        <f t="shared" si="46"/>
        <v>42055.25</v>
      </c>
      <c r="O738" s="10">
        <f t="shared" si="47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 "/",)</f>
        <v>publishing</v>
      </c>
      <c r="T738" t="str">
        <v>nonfiction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4"/>
        <v>1.358918918918919</v>
      </c>
      <c r="G739" t="s">
        <v>20</v>
      </c>
      <c r="H739">
        <v>180</v>
      </c>
      <c r="I739" s="7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0">
        <f t="shared" si="46"/>
        <v>42685.25</v>
      </c>
      <c r="O739" s="10">
        <f t="shared" si="47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 "/",)</f>
        <v>music</v>
      </c>
      <c r="T739" t="str">
        <v>indie rock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2.0843373493975904E-2</v>
      </c>
      <c r="G740" t="s">
        <v>14</v>
      </c>
      <c r="H740">
        <v>15</v>
      </c>
      <c r="I740" s="7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10">
        <f t="shared" si="46"/>
        <v>41959.25</v>
      </c>
      <c r="O740" s="10">
        <f t="shared" si="47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 "/",)</f>
        <v>theater</v>
      </c>
      <c r="T740" t="str">
        <v>plays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4"/>
        <v>0.61</v>
      </c>
      <c r="G741" t="s">
        <v>14</v>
      </c>
      <c r="H741">
        <v>191</v>
      </c>
      <c r="I741" s="7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0">
        <f t="shared" si="46"/>
        <v>41089.208333333336</v>
      </c>
      <c r="O741" s="10">
        <f t="shared" si="47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 "/",)</f>
        <v>music</v>
      </c>
      <c r="T741" t="str">
        <v>indie rock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4"/>
        <v>0.30037735849056602</v>
      </c>
      <c r="G742" t="s">
        <v>14</v>
      </c>
      <c r="H742">
        <v>16</v>
      </c>
      <c r="I742" s="7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10">
        <f t="shared" si="46"/>
        <v>42769.25</v>
      </c>
      <c r="O742" s="10">
        <f t="shared" si="47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 "/",)</f>
        <v>theater</v>
      </c>
      <c r="T742" t="str">
        <v>plays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4"/>
        <v>11.791666666666666</v>
      </c>
      <c r="G743" t="s">
        <v>20</v>
      </c>
      <c r="H743">
        <v>130</v>
      </c>
      <c r="I743" s="7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0">
        <f t="shared" si="46"/>
        <v>40321.208333333336</v>
      </c>
      <c r="O743" s="10">
        <f t="shared" si="47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 "/",)</f>
        <v>theater</v>
      </c>
      <c r="T743" t="str">
        <v>plays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4"/>
        <v>11.260833333333334</v>
      </c>
      <c r="G744" t="s">
        <v>20</v>
      </c>
      <c r="H744">
        <v>122</v>
      </c>
      <c r="I744" s="7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0">
        <f t="shared" si="46"/>
        <v>40197.25</v>
      </c>
      <c r="O744" s="10">
        <f t="shared" si="47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 "/",)</f>
        <v>music</v>
      </c>
      <c r="T744" t="str">
        <v>electric music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4"/>
        <v>0.12923076923076923</v>
      </c>
      <c r="G745" t="s">
        <v>14</v>
      </c>
      <c r="H745">
        <v>17</v>
      </c>
      <c r="I745" s="7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0">
        <f t="shared" si="46"/>
        <v>42298.208333333328</v>
      </c>
      <c r="O745" s="10">
        <f t="shared" si="47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 "/",)</f>
        <v>theater</v>
      </c>
      <c r="T745" t="str">
        <v>plays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4"/>
        <v>7.12</v>
      </c>
      <c r="G746" t="s">
        <v>20</v>
      </c>
      <c r="H746">
        <v>140</v>
      </c>
      <c r="I746" s="7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0">
        <f t="shared" si="46"/>
        <v>43322.208333333328</v>
      </c>
      <c r="O746" s="10">
        <f t="shared" si="47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 "/",)</f>
        <v>theater</v>
      </c>
      <c r="T746" t="str">
        <v>plays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4"/>
        <v>0.30304347826086958</v>
      </c>
      <c r="G747" t="s">
        <v>14</v>
      </c>
      <c r="H747">
        <v>34</v>
      </c>
      <c r="I747" s="7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10">
        <f t="shared" si="46"/>
        <v>40328.208333333336</v>
      </c>
      <c r="O747" s="10">
        <f t="shared" si="47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 "/",)</f>
        <v>technology</v>
      </c>
      <c r="T747" t="str">
        <v>wearables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4"/>
        <v>2.1250896057347672</v>
      </c>
      <c r="G748" t="s">
        <v>20</v>
      </c>
      <c r="H748">
        <v>3388</v>
      </c>
      <c r="I748" s="7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10">
        <f t="shared" si="46"/>
        <v>40825.208333333336</v>
      </c>
      <c r="O748" s="10">
        <f t="shared" si="47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 "/",)</f>
        <v>technology</v>
      </c>
      <c r="T748" t="str">
        <v>web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4"/>
        <v>2.2885714285714287</v>
      </c>
      <c r="G749" t="s">
        <v>20</v>
      </c>
      <c r="H749">
        <v>280</v>
      </c>
      <c r="I749" s="7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0">
        <f t="shared" si="46"/>
        <v>40423.208333333336</v>
      </c>
      <c r="O749" s="10">
        <f t="shared" si="47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 "/",)</f>
        <v>theater</v>
      </c>
      <c r="T749" t="str">
        <v>plays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4"/>
        <v>0.34959979476654696</v>
      </c>
      <c r="G750" t="s">
        <v>74</v>
      </c>
      <c r="H750">
        <v>614</v>
      </c>
      <c r="I750" s="7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0">
        <f t="shared" si="46"/>
        <v>40238.25</v>
      </c>
      <c r="O750" s="10">
        <f t="shared" si="47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 "/",)</f>
        <v>film &amp; video</v>
      </c>
      <c r="T750" t="str">
        <v>animation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4"/>
        <v>1.5729069767441861</v>
      </c>
      <c r="G751" t="s">
        <v>20</v>
      </c>
      <c r="H751">
        <v>366</v>
      </c>
      <c r="I751" s="7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0">
        <f t="shared" si="46"/>
        <v>41920.208333333336</v>
      </c>
      <c r="O751" s="10">
        <f t="shared" si="47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 "/",)</f>
        <v>technology</v>
      </c>
      <c r="T751" t="str">
        <v>wearables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4"/>
        <v>0.01</v>
      </c>
      <c r="G752" t="s">
        <v>14</v>
      </c>
      <c r="H752">
        <v>1</v>
      </c>
      <c r="I752" s="7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10">
        <f t="shared" si="46"/>
        <v>40360.208333333336</v>
      </c>
      <c r="O752" s="10">
        <f t="shared" si="47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 "/",)</f>
        <v>music</v>
      </c>
      <c r="T752" t="str">
        <v>electric music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4"/>
        <v>2.3230555555555554</v>
      </c>
      <c r="G753" t="s">
        <v>20</v>
      </c>
      <c r="H753">
        <v>270</v>
      </c>
      <c r="I753" s="7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0">
        <f t="shared" si="46"/>
        <v>42446.208333333328</v>
      </c>
      <c r="O753" s="10">
        <f t="shared" si="47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 "/",)</f>
        <v>publishing</v>
      </c>
      <c r="T753" t="str">
        <v>nonfiction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4"/>
        <v>0.92448275862068963</v>
      </c>
      <c r="G754" t="s">
        <v>74</v>
      </c>
      <c r="H754">
        <v>114</v>
      </c>
      <c r="I754" s="7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0">
        <f t="shared" si="46"/>
        <v>40395.208333333336</v>
      </c>
      <c r="O754" s="10">
        <f t="shared" si="47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 "/",)</f>
        <v>theater</v>
      </c>
      <c r="T754" t="str">
        <v>plays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4"/>
        <v>2.5670212765957445</v>
      </c>
      <c r="G755" t="s">
        <v>20</v>
      </c>
      <c r="H755">
        <v>137</v>
      </c>
      <c r="I755" s="7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0">
        <f t="shared" si="46"/>
        <v>40321.208333333336</v>
      </c>
      <c r="O755" s="10">
        <f t="shared" si="47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 "/",)</f>
        <v>photography</v>
      </c>
      <c r="T755" t="str">
        <v>photography books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4"/>
        <v>1.6847017045454546</v>
      </c>
      <c r="G756" t="s">
        <v>20</v>
      </c>
      <c r="H756">
        <v>3205</v>
      </c>
      <c r="I756" s="7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0">
        <f t="shared" si="46"/>
        <v>41210.208333333336</v>
      </c>
      <c r="O756" s="10">
        <f t="shared" si="47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 "/",)</f>
        <v>theater</v>
      </c>
      <c r="T756" t="str">
        <v>plays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4"/>
        <v>1.6657777777777778</v>
      </c>
      <c r="G757" t="s">
        <v>20</v>
      </c>
      <c r="H757">
        <v>288</v>
      </c>
      <c r="I757" s="7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0">
        <f t="shared" si="46"/>
        <v>43096.25</v>
      </c>
      <c r="O757" s="10">
        <f t="shared" si="47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 "/",)</f>
        <v>theater</v>
      </c>
      <c r="T757" t="str">
        <v>plays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4"/>
        <v>7.7207692307692311</v>
      </c>
      <c r="G758" t="s">
        <v>20</v>
      </c>
      <c r="H758">
        <v>148</v>
      </c>
      <c r="I758" s="7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0">
        <f t="shared" si="46"/>
        <v>42024.25</v>
      </c>
      <c r="O758" s="10">
        <f t="shared" si="47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 "/",)</f>
        <v>theater</v>
      </c>
      <c r="T758" t="str">
        <v>plays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4"/>
        <v>4.0685714285714285</v>
      </c>
      <c r="G759" t="s">
        <v>20</v>
      </c>
      <c r="H759">
        <v>114</v>
      </c>
      <c r="I759" s="7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0">
        <f t="shared" si="46"/>
        <v>40675.208333333336</v>
      </c>
      <c r="O759" s="10">
        <f t="shared" si="47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 "/",)</f>
        <v>film &amp; video</v>
      </c>
      <c r="T759" t="str">
        <v>drama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4"/>
        <v>5.6420608108108112</v>
      </c>
      <c r="G760" t="s">
        <v>20</v>
      </c>
      <c r="H760">
        <v>1518</v>
      </c>
      <c r="I760" s="7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0">
        <f t="shared" si="46"/>
        <v>41936.208333333336</v>
      </c>
      <c r="O760" s="10">
        <f t="shared" si="47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 "/",)</f>
        <v>music</v>
      </c>
      <c r="T760" t="str">
        <v>rock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4"/>
        <v>0.6842686567164179</v>
      </c>
      <c r="G761" t="s">
        <v>14</v>
      </c>
      <c r="H761">
        <v>1274</v>
      </c>
      <c r="I761" s="7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0">
        <f t="shared" si="46"/>
        <v>43136.25</v>
      </c>
      <c r="O761" s="10">
        <f t="shared" si="47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 "/",)</f>
        <v>music</v>
      </c>
      <c r="T761" t="str">
        <v>electric music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4"/>
        <v>0.34351966873706002</v>
      </c>
      <c r="G762" t="s">
        <v>14</v>
      </c>
      <c r="H762">
        <v>210</v>
      </c>
      <c r="I762" s="7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0">
        <f t="shared" si="46"/>
        <v>43678.208333333328</v>
      </c>
      <c r="O762" s="10">
        <f t="shared" si="47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 "/",)</f>
        <v>games</v>
      </c>
      <c r="T762" t="str">
        <v>video games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4"/>
        <v>6.5545454545454547</v>
      </c>
      <c r="G763" t="s">
        <v>20</v>
      </c>
      <c r="H763">
        <v>166</v>
      </c>
      <c r="I763" s="7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0">
        <f t="shared" si="46"/>
        <v>42938.208333333328</v>
      </c>
      <c r="O763" s="10">
        <f t="shared" si="47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 "/",)</f>
        <v>music</v>
      </c>
      <c r="T763" t="str">
        <v>rock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4"/>
        <v>1.7725714285714285</v>
      </c>
      <c r="G764" t="s">
        <v>20</v>
      </c>
      <c r="H764">
        <v>100</v>
      </c>
      <c r="I764" s="7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10">
        <f t="shared" si="46"/>
        <v>41241.25</v>
      </c>
      <c r="O764" s="10">
        <f t="shared" si="47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 "/",)</f>
        <v>music</v>
      </c>
      <c r="T764" t="str">
        <v>jazz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4"/>
        <v>1.1317857142857144</v>
      </c>
      <c r="G765" t="s">
        <v>20</v>
      </c>
      <c r="H765">
        <v>235</v>
      </c>
      <c r="I765" s="7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0">
        <f t="shared" si="46"/>
        <v>41037.208333333336</v>
      </c>
      <c r="O765" s="10">
        <f t="shared" si="47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 "/",)</f>
        <v>theater</v>
      </c>
      <c r="T765" t="str">
        <v>plays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4"/>
        <v>7.2818181818181822</v>
      </c>
      <c r="G766" t="s">
        <v>20</v>
      </c>
      <c r="H766">
        <v>148</v>
      </c>
      <c r="I766" s="7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0">
        <f t="shared" si="46"/>
        <v>40676.208333333336</v>
      </c>
      <c r="O766" s="10">
        <f t="shared" si="47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 "/",)</f>
        <v>music</v>
      </c>
      <c r="T766" t="str">
        <v>rock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4"/>
        <v>2.0833333333333335</v>
      </c>
      <c r="G767" t="s">
        <v>20</v>
      </c>
      <c r="H767">
        <v>198</v>
      </c>
      <c r="I767" s="7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0">
        <f t="shared" si="46"/>
        <v>42840.208333333328</v>
      </c>
      <c r="O767" s="10">
        <f t="shared" si="47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 "/",)</f>
        <v>music</v>
      </c>
      <c r="T767" t="str">
        <v>indie rock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4"/>
        <v>0.31171232876712329</v>
      </c>
      <c r="G768" t="s">
        <v>14</v>
      </c>
      <c r="H768">
        <v>248</v>
      </c>
      <c r="I768" s="7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0">
        <f t="shared" si="46"/>
        <v>43362.208333333328</v>
      </c>
      <c r="O768" s="10">
        <f t="shared" si="47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 "/",)</f>
        <v>film &amp; video</v>
      </c>
      <c r="T768" t="str">
        <v>science fiction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4"/>
        <v>0.56967078189300413</v>
      </c>
      <c r="G769" t="s">
        <v>14</v>
      </c>
      <c r="H769">
        <v>513</v>
      </c>
      <c r="I769" s="7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0">
        <f t="shared" si="46"/>
        <v>42283.208333333328</v>
      </c>
      <c r="O769" s="10">
        <f t="shared" si="47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 "/",)</f>
        <v>publishing</v>
      </c>
      <c r="T769" t="str">
        <v>translations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4"/>
        <v>2.31</v>
      </c>
      <c r="G770" t="s">
        <v>20</v>
      </c>
      <c r="H770">
        <v>150</v>
      </c>
      <c r="I770" s="7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s="10">
        <f t="shared" si="46"/>
        <v>41619.25</v>
      </c>
      <c r="O770" s="10">
        <f t="shared" si="47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 "/",)</f>
        <v>theater</v>
      </c>
      <c r="T770" t="str">
        <v>plays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48">E771/D771</f>
        <v>0.86867834394904464</v>
      </c>
      <c r="G771" t="s">
        <v>14</v>
      </c>
      <c r="H771">
        <v>3410</v>
      </c>
      <c r="I771" s="7">
        <f t="shared" ref="I771:I834" si="49">E771/H771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0">
        <f t="shared" ref="N771:N834" si="50">(((L771/60)/60)/24)+DATE(1970,1,1)</f>
        <v>41501.208333333336</v>
      </c>
      <c r="O771" s="10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 "/",)</f>
        <v>games</v>
      </c>
      <c r="T771" t="str">
        <v>video games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8"/>
        <v>2.7074418604651163</v>
      </c>
      <c r="G772" t="s">
        <v>20</v>
      </c>
      <c r="H772">
        <v>216</v>
      </c>
      <c r="I772" s="7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0">
        <f t="shared" si="50"/>
        <v>41743.208333333336</v>
      </c>
      <c r="O772" s="10">
        <f t="shared" si="51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 "/",)</f>
        <v>theater</v>
      </c>
      <c r="T772" t="str">
        <v>plays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8"/>
        <v>0.49446428571428569</v>
      </c>
      <c r="G773" t="s">
        <v>74</v>
      </c>
      <c r="H773">
        <v>26</v>
      </c>
      <c r="I773" s="7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10">
        <f t="shared" si="50"/>
        <v>43491.25</v>
      </c>
      <c r="O773" s="10">
        <f t="shared" si="51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 "/",)</f>
        <v>theater</v>
      </c>
      <c r="T773" t="str">
        <v>plays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8"/>
        <v>1.1335962566844919</v>
      </c>
      <c r="G774" t="s">
        <v>20</v>
      </c>
      <c r="H774">
        <v>5139</v>
      </c>
      <c r="I774" s="7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0">
        <f t="shared" si="50"/>
        <v>43505.25</v>
      </c>
      <c r="O774" s="10">
        <f t="shared" si="51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 "/",)</f>
        <v>music</v>
      </c>
      <c r="T774" t="str">
        <v>indie rock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8"/>
        <v>1.9055555555555554</v>
      </c>
      <c r="G775" t="s">
        <v>20</v>
      </c>
      <c r="H775">
        <v>2353</v>
      </c>
      <c r="I775" s="7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0">
        <f t="shared" si="50"/>
        <v>42838.208333333328</v>
      </c>
      <c r="O775" s="10">
        <f t="shared" si="51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 "/",)</f>
        <v>theater</v>
      </c>
      <c r="T775" t="str">
        <v>plays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8"/>
        <v>1.355</v>
      </c>
      <c r="G776" t="s">
        <v>20</v>
      </c>
      <c r="H776">
        <v>78</v>
      </c>
      <c r="I776" s="7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0">
        <f t="shared" si="50"/>
        <v>42513.208333333328</v>
      </c>
      <c r="O776" s="10">
        <f t="shared" si="51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 "/",)</f>
        <v>technology</v>
      </c>
      <c r="T776" t="str">
        <v>web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8"/>
        <v>0.10297872340425532</v>
      </c>
      <c r="G777" t="s">
        <v>14</v>
      </c>
      <c r="H777">
        <v>10</v>
      </c>
      <c r="I777" s="7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10">
        <f t="shared" si="50"/>
        <v>41949.25</v>
      </c>
      <c r="O777" s="10">
        <f t="shared" si="51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 "/",)</f>
        <v>music</v>
      </c>
      <c r="T777" t="str">
        <v>rock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8"/>
        <v>0.65544223826714798</v>
      </c>
      <c r="G778" t="s">
        <v>14</v>
      </c>
      <c r="H778">
        <v>2201</v>
      </c>
      <c r="I778" s="7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0">
        <f t="shared" si="50"/>
        <v>43650.208333333328</v>
      </c>
      <c r="O778" s="10">
        <f t="shared" si="51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 "/",)</f>
        <v>theater</v>
      </c>
      <c r="T778" t="str">
        <v>plays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8"/>
        <v>0.49026652452025588</v>
      </c>
      <c r="G779" t="s">
        <v>14</v>
      </c>
      <c r="H779">
        <v>676</v>
      </c>
      <c r="I779" s="7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0">
        <f t="shared" si="50"/>
        <v>40809.208333333336</v>
      </c>
      <c r="O779" s="10">
        <f t="shared" si="51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 "/",)</f>
        <v>theater</v>
      </c>
      <c r="T779" t="str">
        <v>plays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8"/>
        <v>7.8792307692307695</v>
      </c>
      <c r="G780" t="s">
        <v>20</v>
      </c>
      <c r="H780">
        <v>174</v>
      </c>
      <c r="I780" s="7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0">
        <f t="shared" si="50"/>
        <v>40768.208333333336</v>
      </c>
      <c r="O780" s="10">
        <f t="shared" si="51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 "/",)</f>
        <v>film &amp; video</v>
      </c>
      <c r="T780" t="str">
        <v>animation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8"/>
        <v>0.80306347746090156</v>
      </c>
      <c r="G781" t="s">
        <v>14</v>
      </c>
      <c r="H781">
        <v>831</v>
      </c>
      <c r="I781" s="7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0">
        <f t="shared" si="50"/>
        <v>42230.208333333328</v>
      </c>
      <c r="O781" s="10">
        <f t="shared" si="51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 "/",)</f>
        <v>theater</v>
      </c>
      <c r="T781" t="str">
        <v>plays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8"/>
        <v>1.0629411764705883</v>
      </c>
      <c r="G782" t="s">
        <v>20</v>
      </c>
      <c r="H782">
        <v>164</v>
      </c>
      <c r="I782" s="7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0">
        <f t="shared" si="50"/>
        <v>42573.208333333328</v>
      </c>
      <c r="O782" s="10">
        <f t="shared" si="51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 "/",)</f>
        <v>film &amp; video</v>
      </c>
      <c r="T782" t="str">
        <v>drama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8"/>
        <v>0.50735632183908042</v>
      </c>
      <c r="G783" t="s">
        <v>74</v>
      </c>
      <c r="H783">
        <v>56</v>
      </c>
      <c r="I783" s="7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0">
        <f t="shared" si="50"/>
        <v>40482.208333333336</v>
      </c>
      <c r="O783" s="10">
        <f t="shared" si="51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 "/",)</f>
        <v>theater</v>
      </c>
      <c r="T783" t="str">
        <v>plays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8"/>
        <v>2.153137254901961</v>
      </c>
      <c r="G784" t="s">
        <v>20</v>
      </c>
      <c r="H784">
        <v>161</v>
      </c>
      <c r="I784" s="7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0">
        <f t="shared" si="50"/>
        <v>40603.25</v>
      </c>
      <c r="O784" s="10">
        <f t="shared" si="51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 "/",)</f>
        <v>film &amp; video</v>
      </c>
      <c r="T784" t="str">
        <v>animation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8"/>
        <v>1.4122972972972974</v>
      </c>
      <c r="G785" t="s">
        <v>20</v>
      </c>
      <c r="H785">
        <v>138</v>
      </c>
      <c r="I785" s="7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0">
        <f t="shared" si="50"/>
        <v>41625.25</v>
      </c>
      <c r="O785" s="10">
        <f t="shared" si="51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 "/",)</f>
        <v>music</v>
      </c>
      <c r="T785" t="str">
        <v>rock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8"/>
        <v>1.1533745781777278</v>
      </c>
      <c r="G786" t="s">
        <v>20</v>
      </c>
      <c r="H786">
        <v>3308</v>
      </c>
      <c r="I786" s="7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0">
        <f t="shared" si="50"/>
        <v>42435.25</v>
      </c>
      <c r="O786" s="10">
        <f t="shared" si="51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 "/",)</f>
        <v>technology</v>
      </c>
      <c r="T786" t="str">
        <v>web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8"/>
        <v>1.9311940298507462</v>
      </c>
      <c r="G787" t="s">
        <v>20</v>
      </c>
      <c r="H787">
        <v>127</v>
      </c>
      <c r="I787" s="7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0">
        <f t="shared" si="50"/>
        <v>43582.208333333328</v>
      </c>
      <c r="O787" s="10">
        <f t="shared" si="51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 "/",)</f>
        <v>film &amp; video</v>
      </c>
      <c r="T787" t="str">
        <v>animation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8"/>
        <v>7.2973333333333334</v>
      </c>
      <c r="G788" t="s">
        <v>20</v>
      </c>
      <c r="H788">
        <v>207</v>
      </c>
      <c r="I788" s="7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0">
        <f t="shared" si="50"/>
        <v>43186.208333333328</v>
      </c>
      <c r="O788" s="10">
        <f t="shared" si="51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 "/",)</f>
        <v>music</v>
      </c>
      <c r="T788" t="str">
        <v>jazz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8"/>
        <v>0.99663398692810456</v>
      </c>
      <c r="G789" t="s">
        <v>14</v>
      </c>
      <c r="H789">
        <v>859</v>
      </c>
      <c r="I789" s="7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0">
        <f t="shared" si="50"/>
        <v>40684.208333333336</v>
      </c>
      <c r="O789" s="10">
        <f t="shared" si="51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 "/",)</f>
        <v>music</v>
      </c>
      <c r="T789" t="str">
        <v>rock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8"/>
        <v>0.88166666666666671</v>
      </c>
      <c r="G790" t="s">
        <v>47</v>
      </c>
      <c r="H790">
        <v>31</v>
      </c>
      <c r="I790" s="7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0">
        <f t="shared" si="50"/>
        <v>41202.208333333336</v>
      </c>
      <c r="O790" s="10">
        <f t="shared" si="51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 "/",)</f>
        <v>film &amp; video</v>
      </c>
      <c r="T790" t="str">
        <v>animation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8"/>
        <v>0.37233333333333335</v>
      </c>
      <c r="G791" t="s">
        <v>14</v>
      </c>
      <c r="H791">
        <v>45</v>
      </c>
      <c r="I791" s="7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0">
        <f t="shared" si="50"/>
        <v>41786.208333333336</v>
      </c>
      <c r="O791" s="10">
        <f t="shared" si="51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 "/",)</f>
        <v>theater</v>
      </c>
      <c r="T791" t="str">
        <v>plays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8"/>
        <v>0.30540075309306081</v>
      </c>
      <c r="G792" t="s">
        <v>74</v>
      </c>
      <c r="H792">
        <v>1113</v>
      </c>
      <c r="I792" s="7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0">
        <f t="shared" si="50"/>
        <v>40223.25</v>
      </c>
      <c r="O792" s="10">
        <f t="shared" si="51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 "/",)</f>
        <v>theater</v>
      </c>
      <c r="T792" t="str">
        <v>plays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8"/>
        <v>0.25714285714285712</v>
      </c>
      <c r="G793" t="s">
        <v>14</v>
      </c>
      <c r="H793">
        <v>6</v>
      </c>
      <c r="I793" s="7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10">
        <f t="shared" si="50"/>
        <v>42715.25</v>
      </c>
      <c r="O793" s="10">
        <f t="shared" si="51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 "/",)</f>
        <v>food</v>
      </c>
      <c r="T793" t="str">
        <v>food trucks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8"/>
        <v>0.34</v>
      </c>
      <c r="G794" t="s">
        <v>14</v>
      </c>
      <c r="H794">
        <v>7</v>
      </c>
      <c r="I794" s="7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0">
        <f t="shared" si="50"/>
        <v>41451.208333333336</v>
      </c>
      <c r="O794" s="10">
        <f t="shared" si="51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 "/",)</f>
        <v>theater</v>
      </c>
      <c r="T794" t="str">
        <v>plays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8"/>
        <v>11.859090909090909</v>
      </c>
      <c r="G795" t="s">
        <v>20</v>
      </c>
      <c r="H795">
        <v>181</v>
      </c>
      <c r="I795" s="7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0">
        <f t="shared" si="50"/>
        <v>41450.208333333336</v>
      </c>
      <c r="O795" s="10">
        <f t="shared" si="51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 "/",)</f>
        <v>publishing</v>
      </c>
      <c r="T795" t="str">
        <v>nonfiction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8"/>
        <v>1.2539393939393939</v>
      </c>
      <c r="G796" t="s">
        <v>20</v>
      </c>
      <c r="H796">
        <v>110</v>
      </c>
      <c r="I796" s="7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0">
        <f t="shared" si="50"/>
        <v>43091.25</v>
      </c>
      <c r="O796" s="10">
        <f t="shared" si="51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 "/",)</f>
        <v>music</v>
      </c>
      <c r="T796" t="str">
        <v>rock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8"/>
        <v>0.14394366197183098</v>
      </c>
      <c r="G797" t="s">
        <v>14</v>
      </c>
      <c r="H797">
        <v>31</v>
      </c>
      <c r="I797" s="7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0">
        <f t="shared" si="50"/>
        <v>42675.208333333328</v>
      </c>
      <c r="O797" s="10">
        <f t="shared" si="51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 "/",)</f>
        <v>film &amp; video</v>
      </c>
      <c r="T797" t="str">
        <v>drama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8"/>
        <v>0.54807692307692313</v>
      </c>
      <c r="G798" t="s">
        <v>14</v>
      </c>
      <c r="H798">
        <v>78</v>
      </c>
      <c r="I798" s="7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0">
        <f t="shared" si="50"/>
        <v>41859.208333333336</v>
      </c>
      <c r="O798" s="10">
        <f t="shared" si="51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 "/",)</f>
        <v>games</v>
      </c>
      <c r="T798" t="str">
        <v>mobile games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8"/>
        <v>1.0963157894736841</v>
      </c>
      <c r="G799" t="s">
        <v>20</v>
      </c>
      <c r="H799">
        <v>185</v>
      </c>
      <c r="I799" s="7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0">
        <f t="shared" si="50"/>
        <v>43464.25</v>
      </c>
      <c r="O799" s="10">
        <f t="shared" si="51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 "/",)</f>
        <v>technology</v>
      </c>
      <c r="T799" t="str">
        <v>web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8"/>
        <v>1.8847058823529412</v>
      </c>
      <c r="G800" t="s">
        <v>20</v>
      </c>
      <c r="H800">
        <v>121</v>
      </c>
      <c r="I800" s="7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0">
        <f t="shared" si="50"/>
        <v>41060.208333333336</v>
      </c>
      <c r="O800" s="10">
        <f t="shared" si="51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 "/",)</f>
        <v>theater</v>
      </c>
      <c r="T800" t="str">
        <v>plays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8"/>
        <v>0.87008284023668636</v>
      </c>
      <c r="G801" t="s">
        <v>14</v>
      </c>
      <c r="H801">
        <v>1225</v>
      </c>
      <c r="I801" s="7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0">
        <f t="shared" si="50"/>
        <v>42399.25</v>
      </c>
      <c r="O801" s="10">
        <f t="shared" si="51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 "/",)</f>
        <v>theater</v>
      </c>
      <c r="T801" t="str">
        <v>plays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8"/>
        <v>0.01</v>
      </c>
      <c r="G802" t="s">
        <v>14</v>
      </c>
      <c r="H802">
        <v>1</v>
      </c>
      <c r="I802" s="7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s="10">
        <f t="shared" si="50"/>
        <v>42167.208333333328</v>
      </c>
      <c r="O802" s="10">
        <f t="shared" si="51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 "/",)</f>
        <v>music</v>
      </c>
      <c r="T802" t="str">
        <v>rock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8"/>
        <v>2.0291304347826089</v>
      </c>
      <c r="G803" t="s">
        <v>20</v>
      </c>
      <c r="H803">
        <v>106</v>
      </c>
      <c r="I803" s="7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0">
        <f t="shared" si="50"/>
        <v>43830.25</v>
      </c>
      <c r="O803" s="10">
        <f t="shared" si="51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 "/",)</f>
        <v>photography</v>
      </c>
      <c r="T803" t="str">
        <v>photography books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8"/>
        <v>1.9703225806451612</v>
      </c>
      <c r="G804" t="s">
        <v>20</v>
      </c>
      <c r="H804">
        <v>142</v>
      </c>
      <c r="I804" s="7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0">
        <f t="shared" si="50"/>
        <v>43650.208333333328</v>
      </c>
      <c r="O804" s="10">
        <f t="shared" si="51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 "/",)</f>
        <v>photography</v>
      </c>
      <c r="T804" t="str">
        <v>photography books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8"/>
        <v>1.07</v>
      </c>
      <c r="G805" t="s">
        <v>20</v>
      </c>
      <c r="H805">
        <v>233</v>
      </c>
      <c r="I805" s="7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0">
        <f t="shared" si="50"/>
        <v>43492.25</v>
      </c>
      <c r="O805" s="10">
        <f t="shared" si="51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 "/",)</f>
        <v>theater</v>
      </c>
      <c r="T805" t="str">
        <v>plays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8"/>
        <v>2.6873076923076922</v>
      </c>
      <c r="G806" t="s">
        <v>20</v>
      </c>
      <c r="H806">
        <v>218</v>
      </c>
      <c r="I806" s="7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0">
        <f t="shared" si="50"/>
        <v>43102.25</v>
      </c>
      <c r="O806" s="10">
        <f t="shared" si="51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 "/",)</f>
        <v>music</v>
      </c>
      <c r="T806" t="str">
        <v>rock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8"/>
        <v>0.50845360824742269</v>
      </c>
      <c r="G807" t="s">
        <v>14</v>
      </c>
      <c r="H807">
        <v>67</v>
      </c>
      <c r="I807" s="7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0">
        <f t="shared" si="50"/>
        <v>41958.25</v>
      </c>
      <c r="O807" s="10">
        <f t="shared" si="51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 "/",)</f>
        <v>film &amp; video</v>
      </c>
      <c r="T807" t="str">
        <v>documentary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8"/>
        <v>11.802857142857142</v>
      </c>
      <c r="G808" t="s">
        <v>20</v>
      </c>
      <c r="H808">
        <v>76</v>
      </c>
      <c r="I808" s="7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0">
        <f t="shared" si="50"/>
        <v>40973.25</v>
      </c>
      <c r="O808" s="10">
        <f t="shared" si="51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 "/",)</f>
        <v>film &amp; video</v>
      </c>
      <c r="T808" t="str">
        <v>drama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8"/>
        <v>2.64</v>
      </c>
      <c r="G809" t="s">
        <v>20</v>
      </c>
      <c r="H809">
        <v>43</v>
      </c>
      <c r="I809" s="7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0">
        <f t="shared" si="50"/>
        <v>43753.208333333328</v>
      </c>
      <c r="O809" s="10">
        <f t="shared" si="51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 "/",)</f>
        <v>theater</v>
      </c>
      <c r="T809" t="str">
        <v>plays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8"/>
        <v>0.30442307692307691</v>
      </c>
      <c r="G810" t="s">
        <v>14</v>
      </c>
      <c r="H810">
        <v>19</v>
      </c>
      <c r="I810" s="7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0">
        <f t="shared" si="50"/>
        <v>42507.208333333328</v>
      </c>
      <c r="O810" s="10">
        <f t="shared" si="51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 "/",)</f>
        <v>food</v>
      </c>
      <c r="T810" t="str">
        <v>food trucks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8"/>
        <v>0.62880681818181816</v>
      </c>
      <c r="G811" t="s">
        <v>14</v>
      </c>
      <c r="H811">
        <v>2108</v>
      </c>
      <c r="I811" s="7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s="10">
        <f t="shared" si="50"/>
        <v>41135.208333333336</v>
      </c>
      <c r="O811" s="10">
        <f t="shared" si="51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 "/",)</f>
        <v>film &amp; video</v>
      </c>
      <c r="T811" t="str">
        <v>documentary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8"/>
        <v>1.9312499999999999</v>
      </c>
      <c r="G812" t="s">
        <v>20</v>
      </c>
      <c r="H812">
        <v>221</v>
      </c>
      <c r="I812" s="7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0">
        <f t="shared" si="50"/>
        <v>43067.25</v>
      </c>
      <c r="O812" s="10">
        <f t="shared" si="51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 "/",)</f>
        <v>theater</v>
      </c>
      <c r="T812" t="str">
        <v>plays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8"/>
        <v>0.77102702702702708</v>
      </c>
      <c r="G813" t="s">
        <v>14</v>
      </c>
      <c r="H813">
        <v>679</v>
      </c>
      <c r="I813" s="7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0">
        <f t="shared" si="50"/>
        <v>42378.25</v>
      </c>
      <c r="O813" s="10">
        <f t="shared" si="51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 "/",)</f>
        <v>games</v>
      </c>
      <c r="T813" t="str">
        <v>video games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8"/>
        <v>2.2552763819095478</v>
      </c>
      <c r="G814" t="s">
        <v>20</v>
      </c>
      <c r="H814">
        <v>2805</v>
      </c>
      <c r="I814" s="7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10">
        <f t="shared" si="50"/>
        <v>43206.208333333328</v>
      </c>
      <c r="O814" s="10">
        <f t="shared" si="51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 "/",)</f>
        <v>publishing</v>
      </c>
      <c r="T814" t="str">
        <v>nonfiction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8"/>
        <v>2.3940625</v>
      </c>
      <c r="G815" t="s">
        <v>20</v>
      </c>
      <c r="H815">
        <v>68</v>
      </c>
      <c r="I815" s="7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0">
        <f t="shared" si="50"/>
        <v>41148.208333333336</v>
      </c>
      <c r="O815" s="10">
        <f t="shared" si="51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 "/",)</f>
        <v>games</v>
      </c>
      <c r="T815" t="str">
        <v>video games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8"/>
        <v>0.921875</v>
      </c>
      <c r="G816" t="s">
        <v>14</v>
      </c>
      <c r="H816">
        <v>36</v>
      </c>
      <c r="I816" s="7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0">
        <f t="shared" si="50"/>
        <v>42517.208333333328</v>
      </c>
      <c r="O816" s="10">
        <f t="shared" si="51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 "/",)</f>
        <v>music</v>
      </c>
      <c r="T816" t="str">
        <v>rock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8"/>
        <v>1.3023333333333333</v>
      </c>
      <c r="G817" t="s">
        <v>20</v>
      </c>
      <c r="H817">
        <v>183</v>
      </c>
      <c r="I817" s="7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0">
        <f t="shared" si="50"/>
        <v>43068.25</v>
      </c>
      <c r="O817" s="10">
        <f t="shared" si="51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 "/",)</f>
        <v>music</v>
      </c>
      <c r="T817" t="str">
        <v>rock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8"/>
        <v>6.1521739130434785</v>
      </c>
      <c r="G818" t="s">
        <v>20</v>
      </c>
      <c r="H818">
        <v>133</v>
      </c>
      <c r="I818" s="7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0">
        <f t="shared" si="50"/>
        <v>41680.25</v>
      </c>
      <c r="O818" s="10">
        <f t="shared" si="51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 "/",)</f>
        <v>theater</v>
      </c>
      <c r="T818" t="str">
        <v>plays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8"/>
        <v>3.687953216374269</v>
      </c>
      <c r="G819" t="s">
        <v>20</v>
      </c>
      <c r="H819">
        <v>2489</v>
      </c>
      <c r="I819" s="7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0">
        <f t="shared" si="50"/>
        <v>43589.208333333328</v>
      </c>
      <c r="O819" s="10">
        <f t="shared" si="51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 "/",)</f>
        <v>publishing</v>
      </c>
      <c r="T819" t="str">
        <v>nonfiction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8"/>
        <v>10.948571428571428</v>
      </c>
      <c r="G820" t="s">
        <v>20</v>
      </c>
      <c r="H820">
        <v>69</v>
      </c>
      <c r="I820" s="7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0">
        <f t="shared" si="50"/>
        <v>43486.25</v>
      </c>
      <c r="O820" s="10">
        <f t="shared" si="51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 "/",)</f>
        <v>theater</v>
      </c>
      <c r="T820" t="str">
        <v>plays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8"/>
        <v>0.50662921348314605</v>
      </c>
      <c r="G821" t="s">
        <v>14</v>
      </c>
      <c r="H821">
        <v>47</v>
      </c>
      <c r="I821" s="7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0">
        <f t="shared" si="50"/>
        <v>41237.25</v>
      </c>
      <c r="O821" s="10">
        <f t="shared" si="51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 "/",)</f>
        <v>games</v>
      </c>
      <c r="T821" t="str">
        <v>video games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8"/>
        <v>8.0060000000000002</v>
      </c>
      <c r="G822" t="s">
        <v>20</v>
      </c>
      <c r="H822">
        <v>279</v>
      </c>
      <c r="I822" s="7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0">
        <f t="shared" si="50"/>
        <v>43310.208333333328</v>
      </c>
      <c r="O822" s="10">
        <f t="shared" si="51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 "/",)</f>
        <v>music</v>
      </c>
      <c r="T822" t="str">
        <v>rock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8"/>
        <v>2.9128571428571428</v>
      </c>
      <c r="G823" t="s">
        <v>20</v>
      </c>
      <c r="H823">
        <v>210</v>
      </c>
      <c r="I823" s="7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0">
        <f t="shared" si="50"/>
        <v>42794.25</v>
      </c>
      <c r="O823" s="10">
        <f t="shared" si="51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 "/",)</f>
        <v>film &amp; video</v>
      </c>
      <c r="T823" t="str">
        <v>documentary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8"/>
        <v>3.4996666666666667</v>
      </c>
      <c r="G824" t="s">
        <v>20</v>
      </c>
      <c r="H824">
        <v>2100</v>
      </c>
      <c r="I824" s="7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0">
        <f t="shared" si="50"/>
        <v>41698.25</v>
      </c>
      <c r="O824" s="10">
        <f t="shared" si="51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 "/",)</f>
        <v>music</v>
      </c>
      <c r="T824" t="str">
        <v>rock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8"/>
        <v>3.5707317073170732</v>
      </c>
      <c r="G825" t="s">
        <v>20</v>
      </c>
      <c r="H825">
        <v>252</v>
      </c>
      <c r="I825" s="7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0">
        <f t="shared" si="50"/>
        <v>41892.208333333336</v>
      </c>
      <c r="O825" s="10">
        <f t="shared" si="51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 "/",)</f>
        <v>music</v>
      </c>
      <c r="T825" t="str">
        <v>rock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8"/>
        <v>1.2648941176470587</v>
      </c>
      <c r="G826" t="s">
        <v>20</v>
      </c>
      <c r="H826">
        <v>1280</v>
      </c>
      <c r="I826" s="7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0">
        <f t="shared" si="50"/>
        <v>40348.208333333336</v>
      </c>
      <c r="O826" s="10">
        <f t="shared" si="51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 "/",)</f>
        <v>publishing</v>
      </c>
      <c r="T826" t="str">
        <v>nonfiction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8"/>
        <v>3.875</v>
      </c>
      <c r="G827" t="s">
        <v>20</v>
      </c>
      <c r="H827">
        <v>157</v>
      </c>
      <c r="I827" s="7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0">
        <f t="shared" si="50"/>
        <v>42941.208333333328</v>
      </c>
      <c r="O827" s="10">
        <f t="shared" si="51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 "/",)</f>
        <v>film &amp; video</v>
      </c>
      <c r="T827" t="str">
        <v>shorts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8"/>
        <v>4.5703571428571426</v>
      </c>
      <c r="G828" t="s">
        <v>20</v>
      </c>
      <c r="H828">
        <v>194</v>
      </c>
      <c r="I828" s="7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0">
        <f t="shared" si="50"/>
        <v>40525.25</v>
      </c>
      <c r="O828" s="10">
        <f t="shared" si="51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 "/",)</f>
        <v>theater</v>
      </c>
      <c r="T828" t="str">
        <v>plays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8"/>
        <v>2.6669565217391304</v>
      </c>
      <c r="G829" t="s">
        <v>20</v>
      </c>
      <c r="H829">
        <v>82</v>
      </c>
      <c r="I829" s="7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0">
        <f t="shared" si="50"/>
        <v>40666.208333333336</v>
      </c>
      <c r="O829" s="10">
        <f t="shared" si="51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 "/",)</f>
        <v>film &amp; video</v>
      </c>
      <c r="T829" t="str">
        <v>drama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8"/>
        <v>0.69</v>
      </c>
      <c r="G830" t="s">
        <v>14</v>
      </c>
      <c r="H830">
        <v>70</v>
      </c>
      <c r="I830" s="7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0">
        <f t="shared" si="50"/>
        <v>43340.208333333328</v>
      </c>
      <c r="O830" s="10">
        <f t="shared" si="51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 "/",)</f>
        <v>theater</v>
      </c>
      <c r="T830" t="str">
        <v>plays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8"/>
        <v>0.51343749999999999</v>
      </c>
      <c r="G831" t="s">
        <v>14</v>
      </c>
      <c r="H831">
        <v>154</v>
      </c>
      <c r="I831" s="7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0">
        <f t="shared" si="50"/>
        <v>42164.208333333328</v>
      </c>
      <c r="O831" s="10">
        <f t="shared" si="51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 "/",)</f>
        <v>theater</v>
      </c>
      <c r="T831" t="str">
        <v>plays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1.1710526315789473E-2</v>
      </c>
      <c r="G832" t="s">
        <v>14</v>
      </c>
      <c r="H832">
        <v>22</v>
      </c>
      <c r="I832" s="7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0">
        <f t="shared" si="50"/>
        <v>43103.25</v>
      </c>
      <c r="O832" s="10">
        <f t="shared" si="51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 "/",)</f>
        <v>theater</v>
      </c>
      <c r="T832" t="str">
        <v>plays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8"/>
        <v>1.089773429454171</v>
      </c>
      <c r="G833" t="s">
        <v>20</v>
      </c>
      <c r="H833">
        <v>4233</v>
      </c>
      <c r="I833" s="7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0">
        <f t="shared" si="50"/>
        <v>40994.208333333336</v>
      </c>
      <c r="O833" s="10">
        <f t="shared" si="51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 "/",)</f>
        <v>photography</v>
      </c>
      <c r="T833" t="str">
        <v>photography books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48"/>
        <v>3.1517592592592591</v>
      </c>
      <c r="G834" t="s">
        <v>20</v>
      </c>
      <c r="H834">
        <v>1297</v>
      </c>
      <c r="I834" s="7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0">
        <f t="shared" si="50"/>
        <v>42299.208333333328</v>
      </c>
      <c r="O834" s="10">
        <f t="shared" si="51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 "/",)</f>
        <v>publishing</v>
      </c>
      <c r="T834" t="str">
        <v>translations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52">E835/D835</f>
        <v>1.5769117647058823</v>
      </c>
      <c r="G835" t="s">
        <v>20</v>
      </c>
      <c r="H835">
        <v>165</v>
      </c>
      <c r="I835" s="7">
        <f t="shared" ref="I835:I898" si="53">E835/H835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0">
        <f t="shared" ref="N835:N898" si="54">(((L835/60)/60)/24)+DATE(1970,1,1)</f>
        <v>40588.25</v>
      </c>
      <c r="O835" s="10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 "/",)</f>
        <v>publishing</v>
      </c>
      <c r="T835" t="str">
        <v>translations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2"/>
        <v>1.5380821917808218</v>
      </c>
      <c r="G836" t="s">
        <v>20</v>
      </c>
      <c r="H836">
        <v>119</v>
      </c>
      <c r="I836" s="7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0">
        <f t="shared" si="54"/>
        <v>41448.208333333336</v>
      </c>
      <c r="O836" s="10">
        <f t="shared" si="55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 "/",)</f>
        <v>theater</v>
      </c>
      <c r="T836" t="str">
        <v>plays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2"/>
        <v>0.89738979118329465</v>
      </c>
      <c r="G837" t="s">
        <v>14</v>
      </c>
      <c r="H837">
        <v>1758</v>
      </c>
      <c r="I837" s="7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0">
        <f t="shared" si="54"/>
        <v>42063.25</v>
      </c>
      <c r="O837" s="10">
        <f t="shared" si="55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 "/",)</f>
        <v>technology</v>
      </c>
      <c r="T837" t="str">
        <v>web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2"/>
        <v>0.75135802469135804</v>
      </c>
      <c r="G838" t="s">
        <v>14</v>
      </c>
      <c r="H838">
        <v>94</v>
      </c>
      <c r="I838" s="7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0">
        <f t="shared" si="54"/>
        <v>40214.25</v>
      </c>
      <c r="O838" s="10">
        <f t="shared" si="55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 "/",)</f>
        <v>music</v>
      </c>
      <c r="T838" t="str">
        <v>indie rock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2"/>
        <v>8.5288135593220336</v>
      </c>
      <c r="G839" t="s">
        <v>20</v>
      </c>
      <c r="H839">
        <v>1797</v>
      </c>
      <c r="I839" s="7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0">
        <f t="shared" si="54"/>
        <v>40629.208333333336</v>
      </c>
      <c r="O839" s="10">
        <f t="shared" si="55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 "/",)</f>
        <v>music</v>
      </c>
      <c r="T839" t="str">
        <v>jazz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2"/>
        <v>1.3890625000000001</v>
      </c>
      <c r="G840" t="s">
        <v>20</v>
      </c>
      <c r="H840">
        <v>261</v>
      </c>
      <c r="I840" s="7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0">
        <f t="shared" si="54"/>
        <v>43370.208333333328</v>
      </c>
      <c r="O840" s="10">
        <f t="shared" si="55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 "/",)</f>
        <v>theater</v>
      </c>
      <c r="T840" t="str">
        <v>plays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2"/>
        <v>1.9018181818181819</v>
      </c>
      <c r="G841" t="s">
        <v>20</v>
      </c>
      <c r="H841">
        <v>157</v>
      </c>
      <c r="I841" s="7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0">
        <f t="shared" si="54"/>
        <v>41715.208333333336</v>
      </c>
      <c r="O841" s="10">
        <f t="shared" si="55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 "/",)</f>
        <v>film &amp; video</v>
      </c>
      <c r="T841" t="str">
        <v>documentary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2"/>
        <v>1.0024333619948409</v>
      </c>
      <c r="G842" t="s">
        <v>20</v>
      </c>
      <c r="H842">
        <v>3533</v>
      </c>
      <c r="I842" s="7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0">
        <f t="shared" si="54"/>
        <v>41836.208333333336</v>
      </c>
      <c r="O842" s="10">
        <f t="shared" si="55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 "/",)</f>
        <v>theater</v>
      </c>
      <c r="T842" t="str">
        <v>plays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2"/>
        <v>1.4275824175824177</v>
      </c>
      <c r="G843" t="s">
        <v>20</v>
      </c>
      <c r="H843">
        <v>155</v>
      </c>
      <c r="I843" s="7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0">
        <f t="shared" si="54"/>
        <v>42419.25</v>
      </c>
      <c r="O843" s="10">
        <f t="shared" si="55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 "/",)</f>
        <v>technology</v>
      </c>
      <c r="T843" t="str">
        <v>web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2"/>
        <v>5.6313333333333331</v>
      </c>
      <c r="G844" t="s">
        <v>20</v>
      </c>
      <c r="H844">
        <v>132</v>
      </c>
      <c r="I844" s="7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0">
        <f t="shared" si="54"/>
        <v>43266.208333333328</v>
      </c>
      <c r="O844" s="10">
        <f t="shared" si="55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 "/",)</f>
        <v>technology</v>
      </c>
      <c r="T844" t="str">
        <v>wearables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2"/>
        <v>0.30715909090909088</v>
      </c>
      <c r="G845" t="s">
        <v>14</v>
      </c>
      <c r="H845">
        <v>33</v>
      </c>
      <c r="I845" s="7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0">
        <f t="shared" si="54"/>
        <v>43338.208333333328</v>
      </c>
      <c r="O845" s="10">
        <f t="shared" si="55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 "/",)</f>
        <v>photography</v>
      </c>
      <c r="T845" t="str">
        <v>photography books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2"/>
        <v>0.99397727272727276</v>
      </c>
      <c r="G846" t="s">
        <v>74</v>
      </c>
      <c r="H846">
        <v>94</v>
      </c>
      <c r="I846" s="7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0">
        <f t="shared" si="54"/>
        <v>40930.25</v>
      </c>
      <c r="O846" s="10">
        <f t="shared" si="55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 "/",)</f>
        <v>film &amp; video</v>
      </c>
      <c r="T846" t="str">
        <v>documentary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2"/>
        <v>1.9754935622317598</v>
      </c>
      <c r="G847" t="s">
        <v>20</v>
      </c>
      <c r="H847">
        <v>1354</v>
      </c>
      <c r="I847" s="7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0">
        <f t="shared" si="54"/>
        <v>43235.208333333328</v>
      </c>
      <c r="O847" s="10">
        <f t="shared" si="55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 "/",)</f>
        <v>technology</v>
      </c>
      <c r="T847" t="str">
        <v>web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2"/>
        <v>5.085</v>
      </c>
      <c r="G848" t="s">
        <v>20</v>
      </c>
      <c r="H848">
        <v>48</v>
      </c>
      <c r="I848" s="7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0">
        <f t="shared" si="54"/>
        <v>43302.208333333328</v>
      </c>
      <c r="O848" s="10">
        <f t="shared" si="55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 "/",)</f>
        <v>technology</v>
      </c>
      <c r="T848" t="str">
        <v>web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2"/>
        <v>2.3774468085106384</v>
      </c>
      <c r="G849" t="s">
        <v>20</v>
      </c>
      <c r="H849">
        <v>110</v>
      </c>
      <c r="I849" s="7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0">
        <f t="shared" si="54"/>
        <v>43107.25</v>
      </c>
      <c r="O849" s="10">
        <f t="shared" si="55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 "/",)</f>
        <v>food</v>
      </c>
      <c r="T849" t="str">
        <v>food trucks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2"/>
        <v>3.3846875000000001</v>
      </c>
      <c r="G850" t="s">
        <v>20</v>
      </c>
      <c r="H850">
        <v>172</v>
      </c>
      <c r="I850" s="7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0">
        <f t="shared" si="54"/>
        <v>40341.208333333336</v>
      </c>
      <c r="O850" s="10">
        <f t="shared" si="55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 "/",)</f>
        <v>film &amp; video</v>
      </c>
      <c r="T850" t="str">
        <v>drama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2"/>
        <v>1.3308955223880596</v>
      </c>
      <c r="G851" t="s">
        <v>20</v>
      </c>
      <c r="H851">
        <v>307</v>
      </c>
      <c r="I851" s="7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0">
        <f t="shared" si="54"/>
        <v>40948.25</v>
      </c>
      <c r="O851" s="10">
        <f t="shared" si="55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 "/",)</f>
        <v>music</v>
      </c>
      <c r="T851" t="str">
        <v>indie rock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2"/>
        <v>0.01</v>
      </c>
      <c r="G852" t="s">
        <v>14</v>
      </c>
      <c r="H852">
        <v>1</v>
      </c>
      <c r="I852" s="7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10">
        <f t="shared" si="54"/>
        <v>40866.25</v>
      </c>
      <c r="O852" s="10">
        <f t="shared" si="55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 "/",)</f>
        <v>music</v>
      </c>
      <c r="T852" t="str">
        <v>rock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2"/>
        <v>2.0779999999999998</v>
      </c>
      <c r="G853" t="s">
        <v>20</v>
      </c>
      <c r="H853">
        <v>160</v>
      </c>
      <c r="I853" s="7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0">
        <f t="shared" si="54"/>
        <v>41031.208333333336</v>
      </c>
      <c r="O853" s="10">
        <f t="shared" si="55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 "/",)</f>
        <v>music</v>
      </c>
      <c r="T853" t="str">
        <v>electric music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2"/>
        <v>0.51122448979591839</v>
      </c>
      <c r="G854" t="s">
        <v>14</v>
      </c>
      <c r="H854">
        <v>31</v>
      </c>
      <c r="I854" s="7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0">
        <f t="shared" si="54"/>
        <v>40740.208333333336</v>
      </c>
      <c r="O854" s="10">
        <f t="shared" si="55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 "/",)</f>
        <v>games</v>
      </c>
      <c r="T854" t="str">
        <v>video games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2"/>
        <v>6.5205847953216374</v>
      </c>
      <c r="G855" t="s">
        <v>20</v>
      </c>
      <c r="H855">
        <v>1467</v>
      </c>
      <c r="I855" s="7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0">
        <f t="shared" si="54"/>
        <v>40714.208333333336</v>
      </c>
      <c r="O855" s="10">
        <f t="shared" si="55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 "/",)</f>
        <v>music</v>
      </c>
      <c r="T855" t="str">
        <v>indie rock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2"/>
        <v>1.1363099415204678</v>
      </c>
      <c r="G856" t="s">
        <v>20</v>
      </c>
      <c r="H856">
        <v>2662</v>
      </c>
      <c r="I856" s="7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0">
        <f t="shared" si="54"/>
        <v>43787.25</v>
      </c>
      <c r="O856" s="10">
        <f t="shared" si="55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 "/",)</f>
        <v>publishing</v>
      </c>
      <c r="T856" t="str">
        <v>fiction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2"/>
        <v>1.0237606837606839</v>
      </c>
      <c r="G857" t="s">
        <v>20</v>
      </c>
      <c r="H857">
        <v>452</v>
      </c>
      <c r="I857" s="7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10">
        <f t="shared" si="54"/>
        <v>40712.208333333336</v>
      </c>
      <c r="O857" s="10">
        <f t="shared" si="55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 "/",)</f>
        <v>theater</v>
      </c>
      <c r="T857" t="str">
        <v>plays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2"/>
        <v>3.5658333333333334</v>
      </c>
      <c r="G858" t="s">
        <v>20</v>
      </c>
      <c r="H858">
        <v>158</v>
      </c>
      <c r="I858" s="7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0">
        <f t="shared" si="54"/>
        <v>41023.208333333336</v>
      </c>
      <c r="O858" s="10">
        <f t="shared" si="55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 "/",)</f>
        <v>food</v>
      </c>
      <c r="T858" t="str">
        <v>food trucks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2"/>
        <v>1.3986792452830188</v>
      </c>
      <c r="G859" t="s">
        <v>20</v>
      </c>
      <c r="H859">
        <v>225</v>
      </c>
      <c r="I859" s="7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0">
        <f t="shared" si="54"/>
        <v>40944.25</v>
      </c>
      <c r="O859" s="10">
        <f t="shared" si="55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 "/",)</f>
        <v>film &amp; video</v>
      </c>
      <c r="T859" t="str">
        <v>shorts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2"/>
        <v>0.69450000000000001</v>
      </c>
      <c r="G860" t="s">
        <v>14</v>
      </c>
      <c r="H860">
        <v>35</v>
      </c>
      <c r="I860" s="7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0">
        <f t="shared" si="54"/>
        <v>43211.208333333328</v>
      </c>
      <c r="O860" s="10">
        <f t="shared" si="55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 "/",)</f>
        <v>food</v>
      </c>
      <c r="T860" t="str">
        <v>food trucks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2"/>
        <v>0.35534246575342465</v>
      </c>
      <c r="G861" t="s">
        <v>14</v>
      </c>
      <c r="H861">
        <v>63</v>
      </c>
      <c r="I861" s="7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0">
        <f t="shared" si="54"/>
        <v>41334.25</v>
      </c>
      <c r="O861" s="10">
        <f t="shared" si="55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 "/",)</f>
        <v>theater</v>
      </c>
      <c r="T861" t="str">
        <v>plays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2"/>
        <v>2.5165000000000002</v>
      </c>
      <c r="G862" t="s">
        <v>20</v>
      </c>
      <c r="H862">
        <v>65</v>
      </c>
      <c r="I862" s="7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0">
        <f t="shared" si="54"/>
        <v>43515.25</v>
      </c>
      <c r="O862" s="10">
        <f t="shared" si="55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 "/",)</f>
        <v>technology</v>
      </c>
      <c r="T862" t="str">
        <v>wearables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2"/>
        <v>1.0587500000000001</v>
      </c>
      <c r="G863" t="s">
        <v>20</v>
      </c>
      <c r="H863">
        <v>163</v>
      </c>
      <c r="I863" s="7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0">
        <f t="shared" si="54"/>
        <v>40258.208333333336</v>
      </c>
      <c r="O863" s="10">
        <f t="shared" si="55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 "/",)</f>
        <v>theater</v>
      </c>
      <c r="T863" t="str">
        <v>plays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2"/>
        <v>1.8742857142857143</v>
      </c>
      <c r="G864" t="s">
        <v>20</v>
      </c>
      <c r="H864">
        <v>85</v>
      </c>
      <c r="I864" s="7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0">
        <f t="shared" si="54"/>
        <v>40756.208333333336</v>
      </c>
      <c r="O864" s="10">
        <f t="shared" si="55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 "/",)</f>
        <v>theater</v>
      </c>
      <c r="T864" t="str">
        <v>plays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2"/>
        <v>3.8678571428571429</v>
      </c>
      <c r="G865" t="s">
        <v>20</v>
      </c>
      <c r="H865">
        <v>217</v>
      </c>
      <c r="I865" s="7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0">
        <f t="shared" si="54"/>
        <v>42172.208333333328</v>
      </c>
      <c r="O865" s="10">
        <f t="shared" si="55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 "/",)</f>
        <v>film &amp; video</v>
      </c>
      <c r="T865" t="str">
        <v>television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2"/>
        <v>3.4707142857142856</v>
      </c>
      <c r="G866" t="s">
        <v>20</v>
      </c>
      <c r="H866">
        <v>150</v>
      </c>
      <c r="I866" s="7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10">
        <f t="shared" si="54"/>
        <v>42601.208333333328</v>
      </c>
      <c r="O866" s="10">
        <f t="shared" si="55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 "/",)</f>
        <v>film &amp; video</v>
      </c>
      <c r="T866" t="str">
        <v>shorts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2"/>
        <v>1.8582098765432098</v>
      </c>
      <c r="G867" t="s">
        <v>20</v>
      </c>
      <c r="H867">
        <v>3272</v>
      </c>
      <c r="I867" s="7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0">
        <f t="shared" si="54"/>
        <v>41897.208333333336</v>
      </c>
      <c r="O867" s="10">
        <f t="shared" si="55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 "/",)</f>
        <v>theater</v>
      </c>
      <c r="T867" t="str">
        <v>plays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2"/>
        <v>0.43241247264770238</v>
      </c>
      <c r="G868" t="s">
        <v>74</v>
      </c>
      <c r="H868">
        <v>898</v>
      </c>
      <c r="I868" s="7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0">
        <f t="shared" si="54"/>
        <v>40671.208333333336</v>
      </c>
      <c r="O868" s="10">
        <f t="shared" si="55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 "/",)</f>
        <v>photography</v>
      </c>
      <c r="T868" t="str">
        <v>photography books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2"/>
        <v>1.6243749999999999</v>
      </c>
      <c r="G869" t="s">
        <v>20</v>
      </c>
      <c r="H869">
        <v>300</v>
      </c>
      <c r="I869" s="7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10">
        <f t="shared" si="54"/>
        <v>43382.208333333328</v>
      </c>
      <c r="O869" s="10">
        <f t="shared" si="55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 "/",)</f>
        <v>food</v>
      </c>
      <c r="T869" t="str">
        <v>food trucks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2"/>
        <v>1.8484285714285715</v>
      </c>
      <c r="G870" t="s">
        <v>20</v>
      </c>
      <c r="H870">
        <v>126</v>
      </c>
      <c r="I870" s="7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0">
        <f t="shared" si="54"/>
        <v>41559.208333333336</v>
      </c>
      <c r="O870" s="10">
        <f t="shared" si="55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 "/",)</f>
        <v>theater</v>
      </c>
      <c r="T870" t="str">
        <v>plays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2"/>
        <v>0.23703520691785052</v>
      </c>
      <c r="G871" t="s">
        <v>14</v>
      </c>
      <c r="H871">
        <v>526</v>
      </c>
      <c r="I871" s="7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0">
        <f t="shared" si="54"/>
        <v>40350.208333333336</v>
      </c>
      <c r="O871" s="10">
        <f t="shared" si="55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 "/",)</f>
        <v>film &amp; video</v>
      </c>
      <c r="T871" t="str">
        <v>drama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2"/>
        <v>0.89870129870129867</v>
      </c>
      <c r="G872" t="s">
        <v>14</v>
      </c>
      <c r="H872">
        <v>121</v>
      </c>
      <c r="I872" s="7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0">
        <f t="shared" si="54"/>
        <v>42240.208333333328</v>
      </c>
      <c r="O872" s="10">
        <f t="shared" si="55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 "/",)</f>
        <v>theater</v>
      </c>
      <c r="T872" t="str">
        <v>plays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2"/>
        <v>2.7260419580419581</v>
      </c>
      <c r="G873" t="s">
        <v>20</v>
      </c>
      <c r="H873">
        <v>2320</v>
      </c>
      <c r="I873" s="7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0">
        <f t="shared" si="54"/>
        <v>43040.208333333328</v>
      </c>
      <c r="O873" s="10">
        <f t="shared" si="55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 "/",)</f>
        <v>theater</v>
      </c>
      <c r="T873" t="str">
        <v>plays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2"/>
        <v>1.7004255319148935</v>
      </c>
      <c r="G874" t="s">
        <v>20</v>
      </c>
      <c r="H874">
        <v>81</v>
      </c>
      <c r="I874" s="7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0">
        <f t="shared" si="54"/>
        <v>43346.208333333328</v>
      </c>
      <c r="O874" s="10">
        <f t="shared" si="55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 "/",)</f>
        <v>film &amp; video</v>
      </c>
      <c r="T874" t="str">
        <v>science fiction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2"/>
        <v>1.8828503562945369</v>
      </c>
      <c r="G875" t="s">
        <v>20</v>
      </c>
      <c r="H875">
        <v>1887</v>
      </c>
      <c r="I875" s="7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0">
        <f t="shared" si="54"/>
        <v>41647.25</v>
      </c>
      <c r="O875" s="10">
        <f t="shared" si="55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 "/",)</f>
        <v>photography</v>
      </c>
      <c r="T875" t="str">
        <v>photography books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2"/>
        <v>3.4693532338308457</v>
      </c>
      <c r="G876" t="s">
        <v>20</v>
      </c>
      <c r="H876">
        <v>4358</v>
      </c>
      <c r="I876" s="7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0">
        <f t="shared" si="54"/>
        <v>40291.208333333336</v>
      </c>
      <c r="O876" s="10">
        <f t="shared" si="55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 "/",)</f>
        <v>photography</v>
      </c>
      <c r="T876" t="str">
        <v>photography books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2"/>
        <v>0.6917721518987342</v>
      </c>
      <c r="G877" t="s">
        <v>14</v>
      </c>
      <c r="H877">
        <v>67</v>
      </c>
      <c r="I877" s="7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0">
        <f t="shared" si="54"/>
        <v>40556.25</v>
      </c>
      <c r="O877" s="10">
        <f t="shared" si="55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 "/",)</f>
        <v>music</v>
      </c>
      <c r="T877" t="str">
        <v>rock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2"/>
        <v>0.25433734939759034</v>
      </c>
      <c r="G878" t="s">
        <v>14</v>
      </c>
      <c r="H878">
        <v>57</v>
      </c>
      <c r="I878" s="7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0">
        <f t="shared" si="54"/>
        <v>43624.208333333328</v>
      </c>
      <c r="O878" s="10">
        <f t="shared" si="55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 "/",)</f>
        <v>photography</v>
      </c>
      <c r="T878" t="str">
        <v>photography books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2"/>
        <v>0.77400977995110021</v>
      </c>
      <c r="G879" t="s">
        <v>14</v>
      </c>
      <c r="H879">
        <v>1229</v>
      </c>
      <c r="I879" s="7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0">
        <f t="shared" si="54"/>
        <v>42577.208333333328</v>
      </c>
      <c r="O879" s="10">
        <f t="shared" si="55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 "/",)</f>
        <v>food</v>
      </c>
      <c r="T879" t="str">
        <v>food trucks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2"/>
        <v>0.37481481481481482</v>
      </c>
      <c r="G880" t="s">
        <v>14</v>
      </c>
      <c r="H880">
        <v>12</v>
      </c>
      <c r="I880" s="7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0">
        <f t="shared" si="54"/>
        <v>43845.25</v>
      </c>
      <c r="O880" s="10">
        <f t="shared" si="55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 "/",)</f>
        <v>music</v>
      </c>
      <c r="T880" t="str">
        <v>metal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2"/>
        <v>5.4379999999999997</v>
      </c>
      <c r="G881" t="s">
        <v>20</v>
      </c>
      <c r="H881">
        <v>53</v>
      </c>
      <c r="I881" s="7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0">
        <f t="shared" si="54"/>
        <v>42788.25</v>
      </c>
      <c r="O881" s="10">
        <f t="shared" si="55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 "/",)</f>
        <v>publishing</v>
      </c>
      <c r="T881" t="str">
        <v>nonfiction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2"/>
        <v>2.2852189349112426</v>
      </c>
      <c r="G882" t="s">
        <v>20</v>
      </c>
      <c r="H882">
        <v>2414</v>
      </c>
      <c r="I882" s="7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0">
        <f t="shared" si="54"/>
        <v>43667.208333333328</v>
      </c>
      <c r="O882" s="10">
        <f t="shared" si="55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 "/",)</f>
        <v>music</v>
      </c>
      <c r="T882" t="str">
        <v>electric music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2"/>
        <v>0.38948339483394834</v>
      </c>
      <c r="G883" t="s">
        <v>14</v>
      </c>
      <c r="H883">
        <v>452</v>
      </c>
      <c r="I883" s="7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0">
        <f t="shared" si="54"/>
        <v>42194.208333333328</v>
      </c>
      <c r="O883" s="10">
        <f t="shared" si="55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 "/",)</f>
        <v>theater</v>
      </c>
      <c r="T883" t="str">
        <v>plays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2"/>
        <v>3.7</v>
      </c>
      <c r="G884" t="s">
        <v>20</v>
      </c>
      <c r="H884">
        <v>80</v>
      </c>
      <c r="I884" s="7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10">
        <f t="shared" si="54"/>
        <v>42025.25</v>
      </c>
      <c r="O884" s="10">
        <f t="shared" si="55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 "/",)</f>
        <v>theater</v>
      </c>
      <c r="T884" t="str">
        <v>plays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2"/>
        <v>2.3791176470588233</v>
      </c>
      <c r="G885" t="s">
        <v>20</v>
      </c>
      <c r="H885">
        <v>193</v>
      </c>
      <c r="I885" s="7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0">
        <f t="shared" si="54"/>
        <v>40323.208333333336</v>
      </c>
      <c r="O885" s="10">
        <f t="shared" si="55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 "/",)</f>
        <v>film &amp; video</v>
      </c>
      <c r="T885" t="str">
        <v>shorts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2"/>
        <v>0.64036299765807958</v>
      </c>
      <c r="G886" t="s">
        <v>14</v>
      </c>
      <c r="H886">
        <v>1886</v>
      </c>
      <c r="I886" s="7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0">
        <f t="shared" si="54"/>
        <v>41763.208333333336</v>
      </c>
      <c r="O886" s="10">
        <f t="shared" si="55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 "/",)</f>
        <v>theater</v>
      </c>
      <c r="T886" t="str">
        <v>plays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2"/>
        <v>1.1827777777777777</v>
      </c>
      <c r="G887" t="s">
        <v>20</v>
      </c>
      <c r="H887">
        <v>52</v>
      </c>
      <c r="I887" s="7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0">
        <f t="shared" si="54"/>
        <v>40335.208333333336</v>
      </c>
      <c r="O887" s="10">
        <f t="shared" si="55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 "/",)</f>
        <v>theater</v>
      </c>
      <c r="T887" t="str">
        <v>plays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2"/>
        <v>0.84824037184594958</v>
      </c>
      <c r="G888" t="s">
        <v>14</v>
      </c>
      <c r="H888">
        <v>1825</v>
      </c>
      <c r="I888" s="7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0">
        <f t="shared" si="54"/>
        <v>40416.208333333336</v>
      </c>
      <c r="O888" s="10">
        <f t="shared" si="55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 "/",)</f>
        <v>music</v>
      </c>
      <c r="T888" t="str">
        <v>indie rock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2"/>
        <v>0.29346153846153844</v>
      </c>
      <c r="G889" t="s">
        <v>14</v>
      </c>
      <c r="H889">
        <v>31</v>
      </c>
      <c r="I889" s="7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0">
        <f t="shared" si="54"/>
        <v>42202.208333333328</v>
      </c>
      <c r="O889" s="10">
        <f t="shared" si="55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 "/",)</f>
        <v>theater</v>
      </c>
      <c r="T889" t="str">
        <v>plays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2"/>
        <v>2.0989655172413793</v>
      </c>
      <c r="G890" t="s">
        <v>20</v>
      </c>
      <c r="H890">
        <v>290</v>
      </c>
      <c r="I890" s="7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0">
        <f t="shared" si="54"/>
        <v>42836.208333333328</v>
      </c>
      <c r="O890" s="10">
        <f t="shared" si="55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 "/",)</f>
        <v>theater</v>
      </c>
      <c r="T890" t="str">
        <v>plays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2"/>
        <v>1.697857142857143</v>
      </c>
      <c r="G891" t="s">
        <v>20</v>
      </c>
      <c r="H891">
        <v>122</v>
      </c>
      <c r="I891" s="7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0">
        <f t="shared" si="54"/>
        <v>41710.208333333336</v>
      </c>
      <c r="O891" s="10">
        <f t="shared" si="55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 "/",)</f>
        <v>music</v>
      </c>
      <c r="T891" t="str">
        <v>electric music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2"/>
        <v>1.1595907738095239</v>
      </c>
      <c r="G892" t="s">
        <v>20</v>
      </c>
      <c r="H892">
        <v>1470</v>
      </c>
      <c r="I892" s="7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0">
        <f t="shared" si="54"/>
        <v>43640.208333333328</v>
      </c>
      <c r="O892" s="10">
        <f t="shared" si="55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 "/",)</f>
        <v>music</v>
      </c>
      <c r="T892" t="str">
        <v>indie rock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2"/>
        <v>2.5859999999999999</v>
      </c>
      <c r="G893" t="s">
        <v>20</v>
      </c>
      <c r="H893">
        <v>165</v>
      </c>
      <c r="I893" s="7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0">
        <f t="shared" si="54"/>
        <v>40880.25</v>
      </c>
      <c r="O893" s="10">
        <f t="shared" si="55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 "/",)</f>
        <v>film &amp; video</v>
      </c>
      <c r="T893" t="str">
        <v>documentary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2"/>
        <v>2.3058333333333332</v>
      </c>
      <c r="G894" t="s">
        <v>20</v>
      </c>
      <c r="H894">
        <v>182</v>
      </c>
      <c r="I894" s="7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0">
        <f t="shared" si="54"/>
        <v>40319.208333333336</v>
      </c>
      <c r="O894" s="10">
        <f t="shared" si="55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 "/",)</f>
        <v>publishing</v>
      </c>
      <c r="T894" t="str">
        <v>translations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2"/>
        <v>1.2821428571428573</v>
      </c>
      <c r="G895" t="s">
        <v>20</v>
      </c>
      <c r="H895">
        <v>199</v>
      </c>
      <c r="I895" s="7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0">
        <f t="shared" si="54"/>
        <v>42170.208333333328</v>
      </c>
      <c r="O895" s="10">
        <f t="shared" si="55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 "/",)</f>
        <v>film &amp; video</v>
      </c>
      <c r="T895" t="str">
        <v>documentary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2"/>
        <v>1.8870588235294117</v>
      </c>
      <c r="G896" t="s">
        <v>20</v>
      </c>
      <c r="H896">
        <v>56</v>
      </c>
      <c r="I896" s="7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0">
        <f t="shared" si="54"/>
        <v>41466.208333333336</v>
      </c>
      <c r="O896" s="10">
        <f t="shared" si="55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 "/",)</f>
        <v>film &amp; video</v>
      </c>
      <c r="T896" t="str">
        <v>television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6.9511889862327911E-2</v>
      </c>
      <c r="G897" t="s">
        <v>14</v>
      </c>
      <c r="H897">
        <v>107</v>
      </c>
      <c r="I897" s="7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0">
        <f t="shared" si="54"/>
        <v>43134.25</v>
      </c>
      <c r="O897" s="10">
        <f t="shared" si="55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 "/",)</f>
        <v>theater</v>
      </c>
      <c r="T897" t="str">
        <v>plays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2"/>
        <v>7.7443434343434348</v>
      </c>
      <c r="G898" t="s">
        <v>20</v>
      </c>
      <c r="H898">
        <v>1460</v>
      </c>
      <c r="I898" s="7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0">
        <f t="shared" si="54"/>
        <v>40738.208333333336</v>
      </c>
      <c r="O898" s="10">
        <f t="shared" si="55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 "/",)</f>
        <v>food</v>
      </c>
      <c r="T898" t="str">
        <v>food trucks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56">E899/D899</f>
        <v>0.27693181818181817</v>
      </c>
      <c r="G899" t="s">
        <v>14</v>
      </c>
      <c r="H899">
        <v>27</v>
      </c>
      <c r="I899" s="7">
        <f t="shared" ref="I899:I962" si="57">E899/H899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0">
        <f t="shared" ref="N899:N962" si="58">(((L899/60)/60)/24)+DATE(1970,1,1)</f>
        <v>43583.208333333328</v>
      </c>
      <c r="O899" s="10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 "/",)</f>
        <v>theater</v>
      </c>
      <c r="T899" t="str">
        <v>plays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6"/>
        <v>0.52479620323841425</v>
      </c>
      <c r="G900" t="s">
        <v>14</v>
      </c>
      <c r="H900">
        <v>1221</v>
      </c>
      <c r="I900" s="7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0">
        <f t="shared" si="58"/>
        <v>43815.25</v>
      </c>
      <c r="O900" s="10">
        <f t="shared" si="59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 "/",)</f>
        <v>film &amp; video</v>
      </c>
      <c r="T900" t="str">
        <v>documentary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6"/>
        <v>4.0709677419354842</v>
      </c>
      <c r="G901" t="s">
        <v>20</v>
      </c>
      <c r="H901">
        <v>123</v>
      </c>
      <c r="I901" s="7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0">
        <f t="shared" si="58"/>
        <v>41554.208333333336</v>
      </c>
      <c r="O901" s="10">
        <f t="shared" si="59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 "/",)</f>
        <v>music</v>
      </c>
      <c r="T901" t="str">
        <v>jazz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6"/>
        <v>0.02</v>
      </c>
      <c r="G902" t="s">
        <v>14</v>
      </c>
      <c r="H902">
        <v>1</v>
      </c>
      <c r="I902" s="7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10">
        <f t="shared" si="58"/>
        <v>41901.208333333336</v>
      </c>
      <c r="O902" s="10">
        <f t="shared" si="59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 "/",)</f>
        <v>technology</v>
      </c>
      <c r="T902" t="str">
        <v>web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6"/>
        <v>1.5617857142857143</v>
      </c>
      <c r="G903" t="s">
        <v>20</v>
      </c>
      <c r="H903">
        <v>159</v>
      </c>
      <c r="I903" s="7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0">
        <f t="shared" si="58"/>
        <v>43298.208333333328</v>
      </c>
      <c r="O903" s="10">
        <f t="shared" si="59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 "/",)</f>
        <v>music</v>
      </c>
      <c r="T903" t="str">
        <v>rock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6"/>
        <v>2.5242857142857145</v>
      </c>
      <c r="G904" t="s">
        <v>20</v>
      </c>
      <c r="H904">
        <v>110</v>
      </c>
      <c r="I904" s="7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0">
        <f t="shared" si="58"/>
        <v>42399.25</v>
      </c>
      <c r="O904" s="10">
        <f t="shared" si="59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 "/",)</f>
        <v>technology</v>
      </c>
      <c r="T904" t="str">
        <v>web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1.729268292682927E-2</v>
      </c>
      <c r="G905" t="s">
        <v>47</v>
      </c>
      <c r="H905">
        <v>14</v>
      </c>
      <c r="I905" s="7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0">
        <f t="shared" si="58"/>
        <v>41034.208333333336</v>
      </c>
      <c r="O905" s="10">
        <f t="shared" si="59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 "/",)</f>
        <v>publishing</v>
      </c>
      <c r="T905" t="str">
        <v>nonfiction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6"/>
        <v>0.12230769230769231</v>
      </c>
      <c r="G906" t="s">
        <v>14</v>
      </c>
      <c r="H906">
        <v>16</v>
      </c>
      <c r="I906" s="7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0">
        <f t="shared" si="58"/>
        <v>41186.208333333336</v>
      </c>
      <c r="O906" s="10">
        <f t="shared" si="59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 "/",)</f>
        <v>publishing</v>
      </c>
      <c r="T906" t="str">
        <v>radio &amp; podcasts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6"/>
        <v>1.6398734177215191</v>
      </c>
      <c r="G907" t="s">
        <v>20</v>
      </c>
      <c r="H907">
        <v>236</v>
      </c>
      <c r="I907" s="7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0">
        <f t="shared" si="58"/>
        <v>41536.208333333336</v>
      </c>
      <c r="O907" s="10">
        <f t="shared" si="59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 "/",)</f>
        <v>theater</v>
      </c>
      <c r="T907" t="str">
        <v>plays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6"/>
        <v>1.6298181818181818</v>
      </c>
      <c r="G908" t="s">
        <v>20</v>
      </c>
      <c r="H908">
        <v>191</v>
      </c>
      <c r="I908" s="7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0">
        <f t="shared" si="58"/>
        <v>42868.208333333328</v>
      </c>
      <c r="O908" s="10">
        <f t="shared" si="59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 "/",)</f>
        <v>film &amp; video</v>
      </c>
      <c r="T908" t="str">
        <v>documentary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6"/>
        <v>0.20252747252747252</v>
      </c>
      <c r="G909" t="s">
        <v>14</v>
      </c>
      <c r="H909">
        <v>41</v>
      </c>
      <c r="I909" s="7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0">
        <f t="shared" si="58"/>
        <v>40660.208333333336</v>
      </c>
      <c r="O909" s="10">
        <f t="shared" si="59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 "/",)</f>
        <v>theater</v>
      </c>
      <c r="T909" t="str">
        <v>plays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6"/>
        <v>3.1924083769633507</v>
      </c>
      <c r="G910" t="s">
        <v>20</v>
      </c>
      <c r="H910">
        <v>3934</v>
      </c>
      <c r="I910" s="7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0">
        <f t="shared" si="58"/>
        <v>41031.208333333336</v>
      </c>
      <c r="O910" s="10">
        <f t="shared" si="59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 "/",)</f>
        <v>games</v>
      </c>
      <c r="T910" t="str">
        <v>video games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6"/>
        <v>4.7894444444444444</v>
      </c>
      <c r="G911" t="s">
        <v>20</v>
      </c>
      <c r="H911">
        <v>80</v>
      </c>
      <c r="I911" s="7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0">
        <f t="shared" si="58"/>
        <v>43255.208333333328</v>
      </c>
      <c r="O911" s="10">
        <f t="shared" si="59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 "/",)</f>
        <v>theater</v>
      </c>
      <c r="T911" t="str">
        <v>plays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6"/>
        <v>0.19556634304207121</v>
      </c>
      <c r="G912" t="s">
        <v>74</v>
      </c>
      <c r="H912">
        <v>296</v>
      </c>
      <c r="I912" s="7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0">
        <f t="shared" si="58"/>
        <v>42026.25</v>
      </c>
      <c r="O912" s="10">
        <f t="shared" si="59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 "/",)</f>
        <v>theater</v>
      </c>
      <c r="T912" t="str">
        <v>plays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6"/>
        <v>1.9894827586206896</v>
      </c>
      <c r="G913" t="s">
        <v>20</v>
      </c>
      <c r="H913">
        <v>462</v>
      </c>
      <c r="I913" s="7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0">
        <f t="shared" si="58"/>
        <v>43717.208333333328</v>
      </c>
      <c r="O913" s="10">
        <f t="shared" si="59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 "/",)</f>
        <v>technology</v>
      </c>
      <c r="T913" t="str">
        <v>web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6"/>
        <v>7.95</v>
      </c>
      <c r="G914" t="s">
        <v>20</v>
      </c>
      <c r="H914">
        <v>179</v>
      </c>
      <c r="I914" s="7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0">
        <f t="shared" si="58"/>
        <v>41157.208333333336</v>
      </c>
      <c r="O914" s="10">
        <f t="shared" si="59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 "/",)</f>
        <v>film &amp; video</v>
      </c>
      <c r="T914" t="str">
        <v>drama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6"/>
        <v>0.50621082621082625</v>
      </c>
      <c r="G915" t="s">
        <v>14</v>
      </c>
      <c r="H915">
        <v>523</v>
      </c>
      <c r="I915" s="7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0">
        <f t="shared" si="58"/>
        <v>43597.208333333328</v>
      </c>
      <c r="O915" s="10">
        <f t="shared" si="59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 "/",)</f>
        <v>film &amp; video</v>
      </c>
      <c r="T915" t="str">
        <v>drama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6"/>
        <v>0.57437499999999997</v>
      </c>
      <c r="G916" t="s">
        <v>14</v>
      </c>
      <c r="H916">
        <v>141</v>
      </c>
      <c r="I916" s="7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0">
        <f t="shared" si="58"/>
        <v>41490.208333333336</v>
      </c>
      <c r="O916" s="10">
        <f t="shared" si="59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 "/",)</f>
        <v>theater</v>
      </c>
      <c r="T916" t="str">
        <v>plays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6"/>
        <v>1.5562827640984909</v>
      </c>
      <c r="G917" t="s">
        <v>20</v>
      </c>
      <c r="H917">
        <v>1866</v>
      </c>
      <c r="I917" s="7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0">
        <f t="shared" si="58"/>
        <v>42976.208333333328</v>
      </c>
      <c r="O917" s="10">
        <f t="shared" si="59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 "/",)</f>
        <v>film &amp; video</v>
      </c>
      <c r="T917" t="str">
        <v>television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6"/>
        <v>0.36297297297297298</v>
      </c>
      <c r="G918" t="s">
        <v>14</v>
      </c>
      <c r="H918">
        <v>52</v>
      </c>
      <c r="I918" s="7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0">
        <f t="shared" si="58"/>
        <v>41991.25</v>
      </c>
      <c r="O918" s="10">
        <f t="shared" si="59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 "/",)</f>
        <v>photography</v>
      </c>
      <c r="T918" t="str">
        <v>photography books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6"/>
        <v>0.58250000000000002</v>
      </c>
      <c r="G919" t="s">
        <v>47</v>
      </c>
      <c r="H919">
        <v>27</v>
      </c>
      <c r="I919" s="7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0">
        <f t="shared" si="58"/>
        <v>40722.208333333336</v>
      </c>
      <c r="O919" s="10">
        <f t="shared" si="59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 "/",)</f>
        <v>film &amp; video</v>
      </c>
      <c r="T919" t="str">
        <v>shorts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6"/>
        <v>2.3739473684210526</v>
      </c>
      <c r="G920" t="s">
        <v>20</v>
      </c>
      <c r="H920">
        <v>156</v>
      </c>
      <c r="I920" s="7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0">
        <f t="shared" si="58"/>
        <v>41117.208333333336</v>
      </c>
      <c r="O920" s="10">
        <f t="shared" si="59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 "/",)</f>
        <v>publishing</v>
      </c>
      <c r="T920" t="str">
        <v>radio &amp; podcasts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6"/>
        <v>0.58750000000000002</v>
      </c>
      <c r="G921" t="s">
        <v>14</v>
      </c>
      <c r="H921">
        <v>225</v>
      </c>
      <c r="I921" s="7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0">
        <f t="shared" si="58"/>
        <v>43022.208333333328</v>
      </c>
      <c r="O921" s="10">
        <f t="shared" si="59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 "/",)</f>
        <v>theater</v>
      </c>
      <c r="T921" t="str">
        <v>plays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6"/>
        <v>1.8256603773584905</v>
      </c>
      <c r="G922" t="s">
        <v>20</v>
      </c>
      <c r="H922">
        <v>255</v>
      </c>
      <c r="I922" s="7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0">
        <f t="shared" si="58"/>
        <v>43503.25</v>
      </c>
      <c r="O922" s="10">
        <f t="shared" si="59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 "/",)</f>
        <v>film &amp; video</v>
      </c>
      <c r="T922" t="str">
        <v>animation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6"/>
        <v>7.5436408977556111E-3</v>
      </c>
      <c r="G923" t="s">
        <v>14</v>
      </c>
      <c r="H923">
        <v>38</v>
      </c>
      <c r="I923" s="7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0">
        <f t="shared" si="58"/>
        <v>40951.25</v>
      </c>
      <c r="O923" s="10">
        <f t="shared" si="59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 "/",)</f>
        <v>technology</v>
      </c>
      <c r="T923" t="str">
        <v>web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6"/>
        <v>1.7595330739299611</v>
      </c>
      <c r="G924" t="s">
        <v>20</v>
      </c>
      <c r="H924">
        <v>2261</v>
      </c>
      <c r="I924" s="7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10">
        <f t="shared" si="58"/>
        <v>43443.25</v>
      </c>
      <c r="O924" s="10">
        <f t="shared" si="59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 "/",)</f>
        <v>music</v>
      </c>
      <c r="T924" t="str">
        <v>world music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6"/>
        <v>2.3788235294117648</v>
      </c>
      <c r="G925" t="s">
        <v>20</v>
      </c>
      <c r="H925">
        <v>40</v>
      </c>
      <c r="I925" s="7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10">
        <f t="shared" si="58"/>
        <v>40373.208333333336</v>
      </c>
      <c r="O925" s="10">
        <f t="shared" si="59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 "/",)</f>
        <v>theater</v>
      </c>
      <c r="T925" t="str">
        <v>plays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6"/>
        <v>4.8805076142131982</v>
      </c>
      <c r="G926" t="s">
        <v>20</v>
      </c>
      <c r="H926">
        <v>2289</v>
      </c>
      <c r="I926" s="7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0">
        <f t="shared" si="58"/>
        <v>43769.208333333328</v>
      </c>
      <c r="O926" s="10">
        <f t="shared" si="59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 "/",)</f>
        <v>theater</v>
      </c>
      <c r="T926" t="str">
        <v>plays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6"/>
        <v>2.2406666666666668</v>
      </c>
      <c r="G927" t="s">
        <v>20</v>
      </c>
      <c r="H927">
        <v>65</v>
      </c>
      <c r="I927" s="7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0">
        <f t="shared" si="58"/>
        <v>43000.208333333328</v>
      </c>
      <c r="O927" s="10">
        <f t="shared" si="59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 "/",)</f>
        <v>theater</v>
      </c>
      <c r="T927" t="str">
        <v>plays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6"/>
        <v>0.18126436781609195</v>
      </c>
      <c r="G928" t="s">
        <v>14</v>
      </c>
      <c r="H928">
        <v>15</v>
      </c>
      <c r="I928" s="7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0">
        <f t="shared" si="58"/>
        <v>42502.208333333328</v>
      </c>
      <c r="O928" s="10">
        <f t="shared" si="59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 "/",)</f>
        <v>food</v>
      </c>
      <c r="T928" t="str">
        <v>food trucks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6"/>
        <v>0.45847222222222223</v>
      </c>
      <c r="G929" t="s">
        <v>14</v>
      </c>
      <c r="H929">
        <v>37</v>
      </c>
      <c r="I929" s="7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0">
        <f t="shared" si="58"/>
        <v>41102.208333333336</v>
      </c>
      <c r="O929" s="10">
        <f t="shared" si="59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 "/",)</f>
        <v>theater</v>
      </c>
      <c r="T929" t="str">
        <v>plays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6"/>
        <v>1.1731541218637993</v>
      </c>
      <c r="G930" t="s">
        <v>20</v>
      </c>
      <c r="H930">
        <v>3777</v>
      </c>
      <c r="I930" s="7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0">
        <f t="shared" si="58"/>
        <v>41637.25</v>
      </c>
      <c r="O930" s="10">
        <f t="shared" si="59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 "/",)</f>
        <v>technology</v>
      </c>
      <c r="T930" t="str">
        <v>web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6"/>
        <v>2.173090909090909</v>
      </c>
      <c r="G931" t="s">
        <v>20</v>
      </c>
      <c r="H931">
        <v>184</v>
      </c>
      <c r="I931" s="7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0">
        <f t="shared" si="58"/>
        <v>42858.208333333328</v>
      </c>
      <c r="O931" s="10">
        <f t="shared" si="59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 "/",)</f>
        <v>theater</v>
      </c>
      <c r="T931" t="str">
        <v>plays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6"/>
        <v>1.1228571428571428</v>
      </c>
      <c r="G932" t="s">
        <v>20</v>
      </c>
      <c r="H932">
        <v>85</v>
      </c>
      <c r="I932" s="7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0">
        <f t="shared" si="58"/>
        <v>42060.25</v>
      </c>
      <c r="O932" s="10">
        <f t="shared" si="59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 "/",)</f>
        <v>theater</v>
      </c>
      <c r="T932" t="str">
        <v>plays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6"/>
        <v>0.72518987341772156</v>
      </c>
      <c r="G933" t="s">
        <v>14</v>
      </c>
      <c r="H933">
        <v>112</v>
      </c>
      <c r="I933" s="7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0">
        <f t="shared" si="58"/>
        <v>41818.208333333336</v>
      </c>
      <c r="O933" s="10">
        <f t="shared" si="59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 "/",)</f>
        <v>theater</v>
      </c>
      <c r="T933" t="str">
        <v>plays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6"/>
        <v>2.1230434782608696</v>
      </c>
      <c r="G934" t="s">
        <v>20</v>
      </c>
      <c r="H934">
        <v>144</v>
      </c>
      <c r="I934" s="7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0">
        <f t="shared" si="58"/>
        <v>41709.208333333336</v>
      </c>
      <c r="O934" s="10">
        <f t="shared" si="59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 "/",)</f>
        <v>music</v>
      </c>
      <c r="T934" t="str">
        <v>rock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6"/>
        <v>2.3974657534246577</v>
      </c>
      <c r="G935" t="s">
        <v>20</v>
      </c>
      <c r="H935">
        <v>1902</v>
      </c>
      <c r="I935" s="7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0">
        <f t="shared" si="58"/>
        <v>41372.208333333336</v>
      </c>
      <c r="O935" s="10">
        <f t="shared" si="59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 "/",)</f>
        <v>theater</v>
      </c>
      <c r="T935" t="str">
        <v>plays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6"/>
        <v>1.8193548387096774</v>
      </c>
      <c r="G936" t="s">
        <v>20</v>
      </c>
      <c r="H936">
        <v>105</v>
      </c>
      <c r="I936" s="7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0">
        <f t="shared" si="58"/>
        <v>42422.25</v>
      </c>
      <c r="O936" s="10">
        <f t="shared" si="59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 "/",)</f>
        <v>theater</v>
      </c>
      <c r="T936" t="str">
        <v>plays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6"/>
        <v>1.6413114754098361</v>
      </c>
      <c r="G937" t="s">
        <v>20</v>
      </c>
      <c r="H937">
        <v>132</v>
      </c>
      <c r="I937" s="7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0">
        <f t="shared" si="58"/>
        <v>42209.208333333328</v>
      </c>
      <c r="O937" s="10">
        <f t="shared" si="59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 "/",)</f>
        <v>theater</v>
      </c>
      <c r="T937" t="str">
        <v>plays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1.6375968992248063E-2</v>
      </c>
      <c r="G938" t="s">
        <v>14</v>
      </c>
      <c r="H938">
        <v>21</v>
      </c>
      <c r="I938" s="7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0">
        <f t="shared" si="58"/>
        <v>43668.208333333328</v>
      </c>
      <c r="O938" s="10">
        <f t="shared" si="59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 "/",)</f>
        <v>theater</v>
      </c>
      <c r="T938" t="str">
        <v>plays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6"/>
        <v>0.49643859649122807</v>
      </c>
      <c r="G939" t="s">
        <v>74</v>
      </c>
      <c r="H939">
        <v>976</v>
      </c>
      <c r="I939" s="7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0">
        <f t="shared" si="58"/>
        <v>42334.25</v>
      </c>
      <c r="O939" s="10">
        <f t="shared" si="59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 "/",)</f>
        <v>film &amp; video</v>
      </c>
      <c r="T939" t="str">
        <v>documentary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6"/>
        <v>1.0970652173913042</v>
      </c>
      <c r="G940" t="s">
        <v>20</v>
      </c>
      <c r="H940">
        <v>96</v>
      </c>
      <c r="I940" s="7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0">
        <f t="shared" si="58"/>
        <v>43263.208333333328</v>
      </c>
      <c r="O940" s="10">
        <f t="shared" si="59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 "/",)</f>
        <v>publishing</v>
      </c>
      <c r="T940" t="str">
        <v>fiction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6"/>
        <v>0.49217948717948717</v>
      </c>
      <c r="G941" t="s">
        <v>14</v>
      </c>
      <c r="H941">
        <v>67</v>
      </c>
      <c r="I941" s="7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0">
        <f t="shared" si="58"/>
        <v>40670.208333333336</v>
      </c>
      <c r="O941" s="10">
        <f t="shared" si="59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 "/",)</f>
        <v>games</v>
      </c>
      <c r="T941" t="str">
        <v>video games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6"/>
        <v>0.62232323232323228</v>
      </c>
      <c r="G942" t="s">
        <v>47</v>
      </c>
      <c r="H942">
        <v>66</v>
      </c>
      <c r="I942" s="7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0">
        <f t="shared" si="58"/>
        <v>41244.25</v>
      </c>
      <c r="O942" s="10">
        <f t="shared" si="59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 "/",)</f>
        <v>technology</v>
      </c>
      <c r="T942" t="str">
        <v>web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6"/>
        <v>0.1305813953488372</v>
      </c>
      <c r="G943" t="s">
        <v>14</v>
      </c>
      <c r="H943">
        <v>78</v>
      </c>
      <c r="I943" s="7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0">
        <f t="shared" si="58"/>
        <v>40552.25</v>
      </c>
      <c r="O943" s="10">
        <f t="shared" si="59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 "/",)</f>
        <v>theater</v>
      </c>
      <c r="T943" t="str">
        <v>plays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6"/>
        <v>0.64635416666666667</v>
      </c>
      <c r="G944" t="s">
        <v>14</v>
      </c>
      <c r="H944">
        <v>67</v>
      </c>
      <c r="I944" s="7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0">
        <f t="shared" si="58"/>
        <v>40568.25</v>
      </c>
      <c r="O944" s="10">
        <f t="shared" si="59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 "/",)</f>
        <v>theater</v>
      </c>
      <c r="T944" t="str">
        <v>plays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6"/>
        <v>1.5958666666666668</v>
      </c>
      <c r="G945" t="s">
        <v>20</v>
      </c>
      <c r="H945">
        <v>114</v>
      </c>
      <c r="I945" s="7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0">
        <f t="shared" si="58"/>
        <v>41906.208333333336</v>
      </c>
      <c r="O945" s="10">
        <f t="shared" si="59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 "/",)</f>
        <v>food</v>
      </c>
      <c r="T945" t="str">
        <v>food trucks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6"/>
        <v>0.81420000000000003</v>
      </c>
      <c r="G946" t="s">
        <v>14</v>
      </c>
      <c r="H946">
        <v>263</v>
      </c>
      <c r="I946" s="7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0">
        <f t="shared" si="58"/>
        <v>42776.25</v>
      </c>
      <c r="O946" s="10">
        <f t="shared" si="59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 "/",)</f>
        <v>photography</v>
      </c>
      <c r="T946" t="str">
        <v>photography books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6"/>
        <v>0.32444767441860467</v>
      </c>
      <c r="G947" t="s">
        <v>14</v>
      </c>
      <c r="H947">
        <v>1691</v>
      </c>
      <c r="I947" s="7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0">
        <f t="shared" si="58"/>
        <v>41004.208333333336</v>
      </c>
      <c r="O947" s="10">
        <f t="shared" si="59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 "/",)</f>
        <v>photography</v>
      </c>
      <c r="T947" t="str">
        <v>photography books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9.9141184124918666E-2</v>
      </c>
      <c r="G948" t="s">
        <v>14</v>
      </c>
      <c r="H948">
        <v>181</v>
      </c>
      <c r="I948" s="7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0">
        <f t="shared" si="58"/>
        <v>40710.208333333336</v>
      </c>
      <c r="O948" s="10">
        <f t="shared" si="59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 "/",)</f>
        <v>theater</v>
      </c>
      <c r="T948" t="str">
        <v>plays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6"/>
        <v>0.26694444444444443</v>
      </c>
      <c r="G949" t="s">
        <v>14</v>
      </c>
      <c r="H949">
        <v>13</v>
      </c>
      <c r="I949" s="7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0">
        <f t="shared" si="58"/>
        <v>41908.208333333336</v>
      </c>
      <c r="O949" s="10">
        <f t="shared" si="59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 "/",)</f>
        <v>theater</v>
      </c>
      <c r="T949" t="str">
        <v>plays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6"/>
        <v>0.62957446808510642</v>
      </c>
      <c r="G950" t="s">
        <v>74</v>
      </c>
      <c r="H950">
        <v>160</v>
      </c>
      <c r="I950" s="7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0">
        <f t="shared" si="58"/>
        <v>41985.25</v>
      </c>
      <c r="O950" s="10">
        <f t="shared" si="59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 "/",)</f>
        <v>film &amp; video</v>
      </c>
      <c r="T950" t="str">
        <v>documentary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6"/>
        <v>1.6135593220338984</v>
      </c>
      <c r="G951" t="s">
        <v>20</v>
      </c>
      <c r="H951">
        <v>203</v>
      </c>
      <c r="I951" s="7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0">
        <f t="shared" si="58"/>
        <v>42112.208333333328</v>
      </c>
      <c r="O951" s="10">
        <f t="shared" si="59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 "/",)</f>
        <v>technology</v>
      </c>
      <c r="T951" t="str">
        <v>web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6"/>
        <v>0.05</v>
      </c>
      <c r="G952" t="s">
        <v>14</v>
      </c>
      <c r="H952">
        <v>1</v>
      </c>
      <c r="I952" s="7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10">
        <f t="shared" si="58"/>
        <v>43571.208333333328</v>
      </c>
      <c r="O952" s="10">
        <f t="shared" si="59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 "/",)</f>
        <v>theater</v>
      </c>
      <c r="T952" t="str">
        <v>plays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6"/>
        <v>10.969379310344827</v>
      </c>
      <c r="G953" t="s">
        <v>20</v>
      </c>
      <c r="H953">
        <v>1559</v>
      </c>
      <c r="I953" s="7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0">
        <f t="shared" si="58"/>
        <v>42730.25</v>
      </c>
      <c r="O953" s="10">
        <f t="shared" si="59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 "/",)</f>
        <v>music</v>
      </c>
      <c r="T953" t="str">
        <v>rock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6"/>
        <v>0.70094158075601376</v>
      </c>
      <c r="G954" t="s">
        <v>74</v>
      </c>
      <c r="H954">
        <v>2266</v>
      </c>
      <c r="I954" s="7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0">
        <f t="shared" si="58"/>
        <v>42591.208333333328</v>
      </c>
      <c r="O954" s="10">
        <f t="shared" si="59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 "/",)</f>
        <v>film &amp; video</v>
      </c>
      <c r="T954" t="str">
        <v>documentary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6"/>
        <v>0.6</v>
      </c>
      <c r="G955" t="s">
        <v>14</v>
      </c>
      <c r="H955">
        <v>21</v>
      </c>
      <c r="I955" s="7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0">
        <f t="shared" si="58"/>
        <v>42358.25</v>
      </c>
      <c r="O955" s="10">
        <f t="shared" si="59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 "/",)</f>
        <v>film &amp; video</v>
      </c>
      <c r="T955" t="str">
        <v>science fiction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6"/>
        <v>3.6709859154929578</v>
      </c>
      <c r="G956" t="s">
        <v>20</v>
      </c>
      <c r="H956">
        <v>1548</v>
      </c>
      <c r="I956" s="7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0">
        <f t="shared" si="58"/>
        <v>41174.208333333336</v>
      </c>
      <c r="O956" s="10">
        <f t="shared" si="59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 "/",)</f>
        <v>technology</v>
      </c>
      <c r="T956" t="str">
        <v>web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6"/>
        <v>11.09</v>
      </c>
      <c r="G957" t="s">
        <v>20</v>
      </c>
      <c r="H957">
        <v>80</v>
      </c>
      <c r="I957" s="7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0">
        <f t="shared" si="58"/>
        <v>41238.25</v>
      </c>
      <c r="O957" s="10">
        <f t="shared" si="59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 "/",)</f>
        <v>theater</v>
      </c>
      <c r="T957" t="str">
        <v>plays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6"/>
        <v>0.19028784648187633</v>
      </c>
      <c r="G958" t="s">
        <v>14</v>
      </c>
      <c r="H958">
        <v>830</v>
      </c>
      <c r="I958" s="7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0">
        <f t="shared" si="58"/>
        <v>42360.25</v>
      </c>
      <c r="O958" s="10">
        <f t="shared" si="59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 "/",)</f>
        <v>film &amp; video</v>
      </c>
      <c r="T958" t="str">
        <v>science fiction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6"/>
        <v>1.2687755102040816</v>
      </c>
      <c r="G959" t="s">
        <v>20</v>
      </c>
      <c r="H959">
        <v>131</v>
      </c>
      <c r="I959" s="7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0">
        <f t="shared" si="58"/>
        <v>40955.25</v>
      </c>
      <c r="O959" s="10">
        <f t="shared" si="59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 "/",)</f>
        <v>theater</v>
      </c>
      <c r="T959" t="str">
        <v>plays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6"/>
        <v>7.3463636363636367</v>
      </c>
      <c r="G960" t="s">
        <v>20</v>
      </c>
      <c r="H960">
        <v>112</v>
      </c>
      <c r="I960" s="7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0">
        <f t="shared" si="58"/>
        <v>40350.208333333336</v>
      </c>
      <c r="O960" s="10">
        <f t="shared" si="59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 "/",)</f>
        <v>film &amp; video</v>
      </c>
      <c r="T960" t="str">
        <v>animation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4.5731034482758622E-2</v>
      </c>
      <c r="G961" t="s">
        <v>14</v>
      </c>
      <c r="H961">
        <v>130</v>
      </c>
      <c r="I961" s="7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0">
        <f t="shared" si="58"/>
        <v>40357.208333333336</v>
      </c>
      <c r="O961" s="10">
        <f t="shared" si="59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 "/",)</f>
        <v>publishing</v>
      </c>
      <c r="T961" t="str">
        <v>translations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6"/>
        <v>0.85054545454545449</v>
      </c>
      <c r="G962" t="s">
        <v>14</v>
      </c>
      <c r="H962">
        <v>55</v>
      </c>
      <c r="I962" s="7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0">
        <f t="shared" si="58"/>
        <v>42408.25</v>
      </c>
      <c r="O962" s="10">
        <f t="shared" si="59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 "/",)</f>
        <v>technology</v>
      </c>
      <c r="T962" t="str">
        <v>web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60">E963/D963</f>
        <v>1.1929824561403508</v>
      </c>
      <c r="G963" t="s">
        <v>20</v>
      </c>
      <c r="H963">
        <v>155</v>
      </c>
      <c r="I963" s="7">
        <f t="shared" ref="I963:I1001" si="61">E963/H963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0">
        <f t="shared" ref="N963:N1001" si="62">(((L963/60)/60)/24)+DATE(1970,1,1)</f>
        <v>40591.25</v>
      </c>
      <c r="O963" s="10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 "/",)</f>
        <v>publishing</v>
      </c>
      <c r="T963" t="str">
        <v>translations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0"/>
        <v>2.9602777777777778</v>
      </c>
      <c r="G964" t="s">
        <v>20</v>
      </c>
      <c r="H964">
        <v>266</v>
      </c>
      <c r="I964" s="7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0">
        <f t="shared" si="62"/>
        <v>41592.25</v>
      </c>
      <c r="O964" s="10">
        <f t="shared" si="63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 "/",)</f>
        <v>food</v>
      </c>
      <c r="T964" t="str">
        <v>food trucks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0"/>
        <v>0.84694915254237291</v>
      </c>
      <c r="G965" t="s">
        <v>14</v>
      </c>
      <c r="H965">
        <v>114</v>
      </c>
      <c r="I965" s="7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0">
        <f t="shared" si="62"/>
        <v>40607.25</v>
      </c>
      <c r="O965" s="10">
        <f t="shared" si="63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 "/",)</f>
        <v>photography</v>
      </c>
      <c r="T965" t="str">
        <v>photography books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0"/>
        <v>3.5578378378378379</v>
      </c>
      <c r="G966" t="s">
        <v>20</v>
      </c>
      <c r="H966">
        <v>155</v>
      </c>
      <c r="I966" s="7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0">
        <f t="shared" si="62"/>
        <v>42135.208333333328</v>
      </c>
      <c r="O966" s="10">
        <f t="shared" si="63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 "/",)</f>
        <v>theater</v>
      </c>
      <c r="T966" t="str">
        <v>plays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0"/>
        <v>3.8640909090909092</v>
      </c>
      <c r="G967" t="s">
        <v>20</v>
      </c>
      <c r="H967">
        <v>207</v>
      </c>
      <c r="I967" s="7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0">
        <f t="shared" si="62"/>
        <v>40203.25</v>
      </c>
      <c r="O967" s="10">
        <f t="shared" si="63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 "/",)</f>
        <v>music</v>
      </c>
      <c r="T967" t="str">
        <v>rock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0"/>
        <v>7.9223529411764702</v>
      </c>
      <c r="G968" t="s">
        <v>20</v>
      </c>
      <c r="H968">
        <v>245</v>
      </c>
      <c r="I968" s="7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0">
        <f t="shared" si="62"/>
        <v>42901.208333333328</v>
      </c>
      <c r="O968" s="10">
        <f t="shared" si="63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 "/",)</f>
        <v>theater</v>
      </c>
      <c r="T968" t="str">
        <v>plays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0"/>
        <v>1.3703393665158372</v>
      </c>
      <c r="G969" t="s">
        <v>20</v>
      </c>
      <c r="H969">
        <v>1573</v>
      </c>
      <c r="I969" s="7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0">
        <f t="shared" si="62"/>
        <v>41005.208333333336</v>
      </c>
      <c r="O969" s="10">
        <f t="shared" si="63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 "/",)</f>
        <v>music</v>
      </c>
      <c r="T969" t="str">
        <v>world music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0"/>
        <v>3.3820833333333336</v>
      </c>
      <c r="G970" t="s">
        <v>20</v>
      </c>
      <c r="H970">
        <v>114</v>
      </c>
      <c r="I970" s="7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0">
        <f t="shared" si="62"/>
        <v>40544.25</v>
      </c>
      <c r="O970" s="10">
        <f t="shared" si="63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 "/",)</f>
        <v>food</v>
      </c>
      <c r="T970" t="str">
        <v>food trucks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0"/>
        <v>1.0822784810126582</v>
      </c>
      <c r="G971" t="s">
        <v>20</v>
      </c>
      <c r="H971">
        <v>93</v>
      </c>
      <c r="I971" s="7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0">
        <f t="shared" si="62"/>
        <v>43821.25</v>
      </c>
      <c r="O971" s="10">
        <f t="shared" si="63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 "/",)</f>
        <v>theater</v>
      </c>
      <c r="T971" t="str">
        <v>plays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0"/>
        <v>0.60757639620653314</v>
      </c>
      <c r="G972" t="s">
        <v>14</v>
      </c>
      <c r="H972">
        <v>594</v>
      </c>
      <c r="I972" s="7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0">
        <f t="shared" si="62"/>
        <v>40672.208333333336</v>
      </c>
      <c r="O972" s="10">
        <f t="shared" si="63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 "/",)</f>
        <v>theater</v>
      </c>
      <c r="T972" t="str">
        <v>plays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0"/>
        <v>0.27725490196078434</v>
      </c>
      <c r="G973" t="s">
        <v>14</v>
      </c>
      <c r="H973">
        <v>24</v>
      </c>
      <c r="I973" s="7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0">
        <f t="shared" si="62"/>
        <v>41555.208333333336</v>
      </c>
      <c r="O973" s="10">
        <f t="shared" si="63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 "/",)</f>
        <v>film &amp; video</v>
      </c>
      <c r="T973" t="str">
        <v>television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0"/>
        <v>2.283934426229508</v>
      </c>
      <c r="G974" t="s">
        <v>20</v>
      </c>
      <c r="H974">
        <v>1681</v>
      </c>
      <c r="I974" s="7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0">
        <f t="shared" si="62"/>
        <v>41792.208333333336</v>
      </c>
      <c r="O974" s="10">
        <f t="shared" si="63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 "/",)</f>
        <v>technology</v>
      </c>
      <c r="T974" t="str">
        <v>web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0"/>
        <v>0.21615194054500414</v>
      </c>
      <c r="G975" t="s">
        <v>14</v>
      </c>
      <c r="H975">
        <v>252</v>
      </c>
      <c r="I975" s="7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0">
        <f t="shared" si="62"/>
        <v>40522.25</v>
      </c>
      <c r="O975" s="10">
        <f t="shared" si="63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 "/",)</f>
        <v>theater</v>
      </c>
      <c r="T975" t="str">
        <v>plays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0"/>
        <v>3.73875</v>
      </c>
      <c r="G976" t="s">
        <v>20</v>
      </c>
      <c r="H976">
        <v>32</v>
      </c>
      <c r="I976" s="7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0">
        <f t="shared" si="62"/>
        <v>41412.208333333336</v>
      </c>
      <c r="O976" s="10">
        <f t="shared" si="63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 "/",)</f>
        <v>music</v>
      </c>
      <c r="T976" t="str">
        <v>indie rock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0"/>
        <v>1.5492592592592593</v>
      </c>
      <c r="G977" t="s">
        <v>20</v>
      </c>
      <c r="H977">
        <v>135</v>
      </c>
      <c r="I977" s="7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0">
        <f t="shared" si="62"/>
        <v>42337.25</v>
      </c>
      <c r="O977" s="10">
        <f t="shared" si="63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 "/",)</f>
        <v>theater</v>
      </c>
      <c r="T977" t="str">
        <v>plays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0"/>
        <v>3.2214999999999998</v>
      </c>
      <c r="G978" t="s">
        <v>20</v>
      </c>
      <c r="H978">
        <v>140</v>
      </c>
      <c r="I978" s="7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0">
        <f t="shared" si="62"/>
        <v>40571.25</v>
      </c>
      <c r="O978" s="10">
        <f t="shared" si="63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 "/",)</f>
        <v>theater</v>
      </c>
      <c r="T978" t="str">
        <v>plays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0"/>
        <v>0.73957142857142855</v>
      </c>
      <c r="G979" t="s">
        <v>14</v>
      </c>
      <c r="H979">
        <v>67</v>
      </c>
      <c r="I979" s="7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0">
        <f t="shared" si="62"/>
        <v>43138.25</v>
      </c>
      <c r="O979" s="10">
        <f t="shared" si="63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 "/",)</f>
        <v>food</v>
      </c>
      <c r="T979" t="str">
        <v>food trucks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0"/>
        <v>8.641</v>
      </c>
      <c r="G980" t="s">
        <v>20</v>
      </c>
      <c r="H980">
        <v>92</v>
      </c>
      <c r="I980" s="7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0">
        <f t="shared" si="62"/>
        <v>42686.25</v>
      </c>
      <c r="O980" s="10">
        <f t="shared" si="63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 "/",)</f>
        <v>games</v>
      </c>
      <c r="T980" t="str">
        <v>video games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0"/>
        <v>1.432624584717608</v>
      </c>
      <c r="G981" t="s">
        <v>20</v>
      </c>
      <c r="H981">
        <v>1015</v>
      </c>
      <c r="I981" s="7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0">
        <f t="shared" si="62"/>
        <v>42078.208333333328</v>
      </c>
      <c r="O981" s="10">
        <f t="shared" si="63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 "/",)</f>
        <v>theater</v>
      </c>
      <c r="T981" t="str">
        <v>plays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0"/>
        <v>0.40281762295081969</v>
      </c>
      <c r="G982" t="s">
        <v>14</v>
      </c>
      <c r="H982">
        <v>742</v>
      </c>
      <c r="I982" s="7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0">
        <f t="shared" si="62"/>
        <v>42307.208333333328</v>
      </c>
      <c r="O982" s="10">
        <f t="shared" si="63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 "/",)</f>
        <v>publishing</v>
      </c>
      <c r="T982" t="str">
        <v>nonfiction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0"/>
        <v>1.7822388059701493</v>
      </c>
      <c r="G983" t="s">
        <v>20</v>
      </c>
      <c r="H983">
        <v>323</v>
      </c>
      <c r="I983" s="7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0">
        <f t="shared" si="62"/>
        <v>43094.25</v>
      </c>
      <c r="O983" s="10">
        <f t="shared" si="63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 "/",)</f>
        <v>technology</v>
      </c>
      <c r="T983" t="str">
        <v>web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0"/>
        <v>0.84930555555555554</v>
      </c>
      <c r="G984" t="s">
        <v>14</v>
      </c>
      <c r="H984">
        <v>75</v>
      </c>
      <c r="I984" s="7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0">
        <f t="shared" si="62"/>
        <v>40743.208333333336</v>
      </c>
      <c r="O984" s="10">
        <f t="shared" si="63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 "/",)</f>
        <v>film &amp; video</v>
      </c>
      <c r="T984" t="str">
        <v>documentary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0"/>
        <v>1.4593648334624323</v>
      </c>
      <c r="G985" t="s">
        <v>20</v>
      </c>
      <c r="H985">
        <v>2326</v>
      </c>
      <c r="I985" s="7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0">
        <f t="shared" si="62"/>
        <v>43681.208333333328</v>
      </c>
      <c r="O985" s="10">
        <f t="shared" si="63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 "/",)</f>
        <v>film &amp; video</v>
      </c>
      <c r="T985" t="str">
        <v>documentary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0"/>
        <v>1.5246153846153847</v>
      </c>
      <c r="G986" t="s">
        <v>20</v>
      </c>
      <c r="H986">
        <v>381</v>
      </c>
      <c r="I986" s="7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0">
        <f t="shared" si="62"/>
        <v>43716.208333333328</v>
      </c>
      <c r="O986" s="10">
        <f t="shared" si="63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 "/",)</f>
        <v>theater</v>
      </c>
      <c r="T986" t="str">
        <v>plays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0"/>
        <v>0.67129542790152408</v>
      </c>
      <c r="G987" t="s">
        <v>14</v>
      </c>
      <c r="H987">
        <v>4405</v>
      </c>
      <c r="I987" s="7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0">
        <f t="shared" si="62"/>
        <v>41614.25</v>
      </c>
      <c r="O987" s="10">
        <f t="shared" si="63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 "/",)</f>
        <v>music</v>
      </c>
      <c r="T987" t="str">
        <v>rock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0"/>
        <v>0.40307692307692305</v>
      </c>
      <c r="G988" t="s">
        <v>14</v>
      </c>
      <c r="H988">
        <v>92</v>
      </c>
      <c r="I988" s="7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0">
        <f t="shared" si="62"/>
        <v>40638.208333333336</v>
      </c>
      <c r="O988" s="10">
        <f t="shared" si="63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 "/",)</f>
        <v>music</v>
      </c>
      <c r="T988" t="str">
        <v>rock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0"/>
        <v>2.1679032258064517</v>
      </c>
      <c r="G989" t="s">
        <v>20</v>
      </c>
      <c r="H989">
        <v>480</v>
      </c>
      <c r="I989" s="7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0">
        <f t="shared" si="62"/>
        <v>42852.208333333328</v>
      </c>
      <c r="O989" s="10">
        <f t="shared" si="63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 "/",)</f>
        <v>film &amp; video</v>
      </c>
      <c r="T989" t="str">
        <v>documentary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0"/>
        <v>0.52117021276595743</v>
      </c>
      <c r="G990" t="s">
        <v>14</v>
      </c>
      <c r="H990">
        <v>64</v>
      </c>
      <c r="I990" s="7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0">
        <f t="shared" si="62"/>
        <v>42686.25</v>
      </c>
      <c r="O990" s="10">
        <f t="shared" si="63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 "/",)</f>
        <v>publishing</v>
      </c>
      <c r="T990" t="str">
        <v>radio &amp; podcasts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0"/>
        <v>4.9958333333333336</v>
      </c>
      <c r="G991" t="s">
        <v>20</v>
      </c>
      <c r="H991">
        <v>226</v>
      </c>
      <c r="I991" s="7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0">
        <f t="shared" si="62"/>
        <v>43571.208333333328</v>
      </c>
      <c r="O991" s="10">
        <f t="shared" si="63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 "/",)</f>
        <v>publishing</v>
      </c>
      <c r="T991" t="str">
        <v>translations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0"/>
        <v>0.87679487179487181</v>
      </c>
      <c r="G992" t="s">
        <v>14</v>
      </c>
      <c r="H992">
        <v>64</v>
      </c>
      <c r="I992" s="7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0">
        <f t="shared" si="62"/>
        <v>42432.25</v>
      </c>
      <c r="O992" s="10">
        <f t="shared" si="63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 "/",)</f>
        <v>film &amp; video</v>
      </c>
      <c r="T992" t="str">
        <v>drama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0"/>
        <v>1.131734693877551</v>
      </c>
      <c r="G993" t="s">
        <v>20</v>
      </c>
      <c r="H993">
        <v>241</v>
      </c>
      <c r="I993" s="7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0">
        <f t="shared" si="62"/>
        <v>41907.208333333336</v>
      </c>
      <c r="O993" s="10">
        <f t="shared" si="63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 "/",)</f>
        <v>music</v>
      </c>
      <c r="T993" t="str">
        <v>rock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0"/>
        <v>4.2654838709677421</v>
      </c>
      <c r="G994" t="s">
        <v>20</v>
      </c>
      <c r="H994">
        <v>132</v>
      </c>
      <c r="I994" s="7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0">
        <f t="shared" si="62"/>
        <v>43227.208333333328</v>
      </c>
      <c r="O994" s="10">
        <f t="shared" si="63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 "/",)</f>
        <v>film &amp; video</v>
      </c>
      <c r="T994" t="str">
        <v>drama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0"/>
        <v>0.77632653061224488</v>
      </c>
      <c r="G995" t="s">
        <v>74</v>
      </c>
      <c r="H995">
        <v>75</v>
      </c>
      <c r="I995" s="7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0">
        <f t="shared" si="62"/>
        <v>42362.25</v>
      </c>
      <c r="O995" s="10">
        <f t="shared" si="63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 "/",)</f>
        <v>photography</v>
      </c>
      <c r="T995" t="str">
        <v>photography books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0"/>
        <v>0.52496810772501767</v>
      </c>
      <c r="G996" t="s">
        <v>14</v>
      </c>
      <c r="H996">
        <v>842</v>
      </c>
      <c r="I996" s="7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0">
        <f t="shared" si="62"/>
        <v>41929.208333333336</v>
      </c>
      <c r="O996" s="10">
        <f t="shared" si="63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 "/",)</f>
        <v>publishing</v>
      </c>
      <c r="T996" t="str">
        <v>translations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0"/>
        <v>1.5746762589928058</v>
      </c>
      <c r="G997" t="s">
        <v>20</v>
      </c>
      <c r="H997">
        <v>2043</v>
      </c>
      <c r="I997" s="7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0">
        <f t="shared" si="62"/>
        <v>43408.208333333328</v>
      </c>
      <c r="O997" s="10">
        <f t="shared" si="63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 "/",)</f>
        <v>food</v>
      </c>
      <c r="T997" t="str">
        <v>food trucks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0"/>
        <v>0.72939393939393937</v>
      </c>
      <c r="G998" t="s">
        <v>14</v>
      </c>
      <c r="H998">
        <v>112</v>
      </c>
      <c r="I998" s="7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0">
        <f t="shared" si="62"/>
        <v>41276.25</v>
      </c>
      <c r="O998" s="10">
        <f t="shared" si="63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 "/",)</f>
        <v>theater</v>
      </c>
      <c r="T998" t="str">
        <v>plays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0"/>
        <v>0.60565789473684206</v>
      </c>
      <c r="G999" t="s">
        <v>74</v>
      </c>
      <c r="H999">
        <v>139</v>
      </c>
      <c r="I999" s="7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0">
        <f t="shared" si="62"/>
        <v>41659.25</v>
      </c>
      <c r="O999" s="10">
        <f t="shared" si="63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 "/",)</f>
        <v>theater</v>
      </c>
      <c r="T999" t="str">
        <v>plays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0"/>
        <v>0.5679129129129129</v>
      </c>
      <c r="G1000" t="s">
        <v>14</v>
      </c>
      <c r="H1000">
        <v>374</v>
      </c>
      <c r="I1000" s="7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0">
        <f t="shared" si="62"/>
        <v>40220.25</v>
      </c>
      <c r="O1000" s="10">
        <f t="shared" si="63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 "/",)</f>
        <v>music</v>
      </c>
      <c r="T1000" t="str">
        <v>indie rock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0"/>
        <v>0.56542754275427543</v>
      </c>
      <c r="G1001" t="s">
        <v>74</v>
      </c>
      <c r="H1001">
        <v>1122</v>
      </c>
      <c r="I1001" s="7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0">
        <f t="shared" si="62"/>
        <v>42550.208333333328</v>
      </c>
      <c r="O1001" s="10">
        <f t="shared" si="63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 "/",)</f>
        <v>food</v>
      </c>
      <c r="T1001" t="str">
        <v>food trucks</v>
      </c>
    </row>
    <row r="1004" spans="1:20" x14ac:dyDescent="0.25">
      <c r="I1004"/>
    </row>
    <row r="1006" spans="1:20" x14ac:dyDescent="0.25">
      <c r="H1006" s="8" t="s">
        <v>2044</v>
      </c>
      <c r="I1006" t="s">
        <v>2086</v>
      </c>
    </row>
    <row r="1007" spans="1:20" x14ac:dyDescent="0.25">
      <c r="H1007" s="9" t="s">
        <v>2034</v>
      </c>
      <c r="I1007" s="13">
        <v>1.9594033055476141</v>
      </c>
    </row>
    <row r="1008" spans="1:20" x14ac:dyDescent="0.25">
      <c r="H1008" s="9" t="s">
        <v>2035</v>
      </c>
      <c r="I1008" s="13">
        <v>2.1378270048973551</v>
      </c>
    </row>
    <row r="1009" spans="8:9" x14ac:dyDescent="0.25">
      <c r="H1009" s="9" t="s">
        <v>2036</v>
      </c>
      <c r="I1009" s="13">
        <v>2.1347729023479722</v>
      </c>
    </row>
    <row r="1010" spans="8:9" x14ac:dyDescent="0.25">
      <c r="H1010" s="9" t="s">
        <v>2037</v>
      </c>
      <c r="I1010" s="13">
        <v>1.5062984968701985</v>
      </c>
    </row>
    <row r="1011" spans="8:9" x14ac:dyDescent="0.25">
      <c r="H1011" s="9" t="s">
        <v>2038</v>
      </c>
      <c r="I1011" s="13">
        <v>2.0580641971112441</v>
      </c>
    </row>
    <row r="1012" spans="8:9" x14ac:dyDescent="0.25">
      <c r="H1012" s="9" t="s">
        <v>2039</v>
      </c>
      <c r="I1012" s="13">
        <v>1.8416268965580609</v>
      </c>
    </row>
    <row r="1013" spans="8:9" x14ac:dyDescent="0.25">
      <c r="H1013" s="9" t="s">
        <v>2040</v>
      </c>
      <c r="I1013" s="13">
        <v>1.9414115048825458</v>
      </c>
    </row>
    <row r="1014" spans="8:9" x14ac:dyDescent="0.25">
      <c r="H1014" s="9" t="s">
        <v>2041</v>
      </c>
      <c r="I1014" s="13">
        <v>2.2563291032008221</v>
      </c>
    </row>
    <row r="1015" spans="8:9" x14ac:dyDescent="0.25">
      <c r="H1015" s="9" t="s">
        <v>2042</v>
      </c>
      <c r="I1015" s="13">
        <v>1.9320420481618641</v>
      </c>
    </row>
    <row r="1016" spans="8:9" x14ac:dyDescent="0.25">
      <c r="H1016" s="9" t="s">
        <v>2043</v>
      </c>
      <c r="I1016" s="13">
        <v>2.0044223173649356</v>
      </c>
    </row>
    <row r="1017" spans="8:9" x14ac:dyDescent="0.25">
      <c r="I1017" s="13"/>
    </row>
    <row r="1018" spans="8:9" x14ac:dyDescent="0.25">
      <c r="I1018"/>
    </row>
    <row r="1019" spans="8:9" x14ac:dyDescent="0.25">
      <c r="I1019"/>
    </row>
    <row r="1020" spans="8:9" x14ac:dyDescent="0.25">
      <c r="I1020"/>
    </row>
    <row r="1021" spans="8:9" x14ac:dyDescent="0.25">
      <c r="I1021"/>
    </row>
    <row r="1022" spans="8:9" x14ac:dyDescent="0.25">
      <c r="I1022"/>
    </row>
    <row r="1023" spans="8:9" x14ac:dyDescent="0.25">
      <c r="I1023"/>
    </row>
  </sheetData>
  <conditionalFormatting sqref="F2:F1048576">
    <cfRule type="cellIs" dxfId="7" priority="1" operator="greaterThan">
      <formula>2</formula>
    </cfRule>
    <cfRule type="cellIs" dxfId="6" priority="2" operator="between">
      <formula>1.00001</formula>
      <formula>2</formula>
    </cfRule>
    <cfRule type="cellIs" dxfId="5" priority="3" operator="between">
      <formula>0</formula>
      <formula>1</formula>
    </cfRule>
  </conditionalFormatting>
  <conditionalFormatting sqref="G1:G1048576">
    <cfRule type="containsText" dxfId="4" priority="4" operator="containsText" text="canceled">
      <formula>NOT(ISERROR(SEARCH("canceled",G1)))</formula>
    </cfRule>
    <cfRule type="containsText" dxfId="3" priority="5" operator="containsText" text="live">
      <formula>NOT(ISERROR(SEARCH("live",G1)))</formula>
    </cfRule>
    <cfRule type="containsText" dxfId="2" priority="6" operator="containsText" text="successful">
      <formula>NOT(ISERROR(SEARCH("successful",G1)))</formula>
    </cfRule>
    <cfRule type="containsText" dxfId="1" priority="7" operator="containsText" text="failed">
      <formula>NOT(ISERROR(SEARCH("failed",G1)))</formula>
    </cfRule>
  </conditionalFormatting>
  <pageMargins left="0.75" right="0.75" top="1" bottom="1" header="0.5" footer="0.5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95134-3FF5-4253-AC66-489C2CD58546}">
  <sheetPr codeName="Sheet2"/>
  <dimension ref="B2:I26"/>
  <sheetViews>
    <sheetView zoomScale="70" zoomScaleNormal="70" workbookViewId="0">
      <selection activeCell="R22" sqref="R22"/>
    </sheetView>
  </sheetViews>
  <sheetFormatPr defaultRowHeight="15.75" x14ac:dyDescent="0.25"/>
  <cols>
    <col min="2" max="2" width="16.375" bestFit="1" customWidth="1"/>
    <col min="3" max="3" width="16.125" bestFit="1" customWidth="1"/>
    <col min="4" max="4" width="7" bestFit="1" customWidth="1"/>
    <col min="5" max="5" width="6" bestFit="1" customWidth="1"/>
    <col min="6" max="6" width="9.5" bestFit="1" customWidth="1"/>
    <col min="7" max="7" width="11" bestFit="1" customWidth="1"/>
    <col min="8" max="10" width="15.25" bestFit="1" customWidth="1"/>
    <col min="11" max="11" width="10.875" bestFit="1" customWidth="1"/>
  </cols>
  <sheetData>
    <row r="2" spans="2:9" x14ac:dyDescent="0.25">
      <c r="B2" s="8" t="s">
        <v>2045</v>
      </c>
      <c r="C2" s="8" t="s">
        <v>2033</v>
      </c>
    </row>
    <row r="3" spans="2:9" x14ac:dyDescent="0.25">
      <c r="B3" s="8" t="s">
        <v>2044</v>
      </c>
      <c r="C3" t="s">
        <v>74</v>
      </c>
      <c r="D3" t="s">
        <v>14</v>
      </c>
      <c r="E3" t="s">
        <v>47</v>
      </c>
      <c r="F3" t="s">
        <v>20</v>
      </c>
      <c r="G3" t="s">
        <v>2043</v>
      </c>
    </row>
    <row r="4" spans="2:9" x14ac:dyDescent="0.25">
      <c r="B4" s="9" t="s">
        <v>2034</v>
      </c>
      <c r="C4">
        <v>11</v>
      </c>
      <c r="D4">
        <v>60</v>
      </c>
      <c r="E4">
        <v>5</v>
      </c>
      <c r="F4">
        <v>102</v>
      </c>
      <c r="G4">
        <v>178</v>
      </c>
      <c r="H4" s="14"/>
      <c r="I4" s="5"/>
    </row>
    <row r="5" spans="2:9" x14ac:dyDescent="0.25">
      <c r="B5" s="9" t="s">
        <v>2035</v>
      </c>
      <c r="C5">
        <v>4</v>
      </c>
      <c r="D5">
        <v>20</v>
      </c>
      <c r="F5">
        <v>22</v>
      </c>
      <c r="G5">
        <v>46</v>
      </c>
      <c r="H5" s="14"/>
      <c r="I5" s="5"/>
    </row>
    <row r="6" spans="2:9" x14ac:dyDescent="0.25">
      <c r="B6" s="9" t="s">
        <v>2036</v>
      </c>
      <c r="C6">
        <v>1</v>
      </c>
      <c r="D6">
        <v>23</v>
      </c>
      <c r="E6">
        <v>3</v>
      </c>
      <c r="F6">
        <v>21</v>
      </c>
      <c r="G6">
        <v>48</v>
      </c>
      <c r="H6" s="14"/>
      <c r="I6" s="5"/>
    </row>
    <row r="7" spans="2:9" x14ac:dyDescent="0.25">
      <c r="B7" s="9" t="s">
        <v>2037</v>
      </c>
      <c r="F7">
        <v>4</v>
      </c>
      <c r="G7">
        <v>4</v>
      </c>
      <c r="H7" s="14"/>
      <c r="I7" s="5"/>
    </row>
    <row r="8" spans="2:9" x14ac:dyDescent="0.25">
      <c r="B8" s="9" t="s">
        <v>2038</v>
      </c>
      <c r="C8">
        <v>10</v>
      </c>
      <c r="D8">
        <v>66</v>
      </c>
      <c r="F8">
        <v>99</v>
      </c>
      <c r="G8">
        <v>175</v>
      </c>
      <c r="H8" s="14"/>
      <c r="I8" s="5"/>
    </row>
    <row r="9" spans="2:9" x14ac:dyDescent="0.25">
      <c r="B9" s="9" t="s">
        <v>2039</v>
      </c>
      <c r="C9">
        <v>4</v>
      </c>
      <c r="D9">
        <v>11</v>
      </c>
      <c r="E9">
        <v>1</v>
      </c>
      <c r="F9">
        <v>26</v>
      </c>
      <c r="G9">
        <v>42</v>
      </c>
      <c r="H9" s="14"/>
      <c r="I9" s="5"/>
    </row>
    <row r="10" spans="2:9" x14ac:dyDescent="0.25">
      <c r="B10" s="9" t="s">
        <v>2040</v>
      </c>
      <c r="C10">
        <v>2</v>
      </c>
      <c r="D10">
        <v>24</v>
      </c>
      <c r="E10">
        <v>1</v>
      </c>
      <c r="F10">
        <v>40</v>
      </c>
      <c r="G10">
        <v>67</v>
      </c>
      <c r="H10" s="14"/>
      <c r="I10" s="5"/>
    </row>
    <row r="11" spans="2:9" x14ac:dyDescent="0.25">
      <c r="B11" s="9" t="s">
        <v>2041</v>
      </c>
      <c r="C11">
        <v>2</v>
      </c>
      <c r="D11">
        <v>28</v>
      </c>
      <c r="E11">
        <v>2</v>
      </c>
      <c r="F11">
        <v>64</v>
      </c>
      <c r="G11">
        <v>96</v>
      </c>
      <c r="H11" s="14"/>
      <c r="I11" s="5"/>
    </row>
    <row r="12" spans="2:9" x14ac:dyDescent="0.25">
      <c r="B12" s="9" t="s">
        <v>2042</v>
      </c>
      <c r="C12">
        <v>23</v>
      </c>
      <c r="D12">
        <v>132</v>
      </c>
      <c r="E12">
        <v>2</v>
      </c>
      <c r="F12">
        <v>187</v>
      </c>
      <c r="G12">
        <v>344</v>
      </c>
      <c r="H12" s="14"/>
      <c r="I12" s="5"/>
    </row>
    <row r="13" spans="2:9" x14ac:dyDescent="0.25">
      <c r="B13" s="9" t="s">
        <v>2043</v>
      </c>
      <c r="C13">
        <v>57</v>
      </c>
      <c r="D13">
        <v>364</v>
      </c>
      <c r="E13">
        <v>14</v>
      </c>
      <c r="F13">
        <v>565</v>
      </c>
      <c r="G13">
        <v>1000</v>
      </c>
      <c r="I13" s="12"/>
    </row>
    <row r="14" spans="2:9" x14ac:dyDescent="0.25">
      <c r="I14" s="12"/>
    </row>
    <row r="15" spans="2:9" x14ac:dyDescent="0.25">
      <c r="B15" s="8" t="s">
        <v>2045</v>
      </c>
      <c r="C15" s="8" t="s">
        <v>2033</v>
      </c>
      <c r="I15" s="12"/>
    </row>
    <row r="16" spans="2:9" x14ac:dyDescent="0.25">
      <c r="B16" s="8" t="s">
        <v>2044</v>
      </c>
      <c r="C16" t="s">
        <v>74</v>
      </c>
      <c r="D16" t="s">
        <v>14</v>
      </c>
      <c r="E16" t="s">
        <v>47</v>
      </c>
      <c r="F16" t="s">
        <v>20</v>
      </c>
      <c r="G16" t="s">
        <v>2043</v>
      </c>
      <c r="I16" s="12"/>
    </row>
    <row r="17" spans="2:9" x14ac:dyDescent="0.25">
      <c r="B17" s="9" t="s">
        <v>2034</v>
      </c>
      <c r="C17" s="12">
        <v>6.1797752808988762E-2</v>
      </c>
      <c r="D17" s="12">
        <v>0.33707865168539325</v>
      </c>
      <c r="E17" s="12">
        <v>2.8089887640449437E-2</v>
      </c>
      <c r="F17" s="12">
        <v>0.5730337078651685</v>
      </c>
      <c r="G17" s="12">
        <v>1</v>
      </c>
      <c r="I17" s="12"/>
    </row>
    <row r="18" spans="2:9" x14ac:dyDescent="0.25">
      <c r="B18" s="9" t="s">
        <v>2035</v>
      </c>
      <c r="C18" s="12">
        <v>8.6956521739130432E-2</v>
      </c>
      <c r="D18" s="12">
        <v>0.43478260869565216</v>
      </c>
      <c r="E18" s="12">
        <v>0</v>
      </c>
      <c r="F18" s="12">
        <v>0.47826086956521741</v>
      </c>
      <c r="G18" s="12">
        <v>1</v>
      </c>
      <c r="I18" s="12"/>
    </row>
    <row r="19" spans="2:9" x14ac:dyDescent="0.25">
      <c r="B19" s="9" t="s">
        <v>2036</v>
      </c>
      <c r="C19" s="12">
        <v>2.0833333333333332E-2</v>
      </c>
      <c r="D19" s="12">
        <v>0.47916666666666669</v>
      </c>
      <c r="E19" s="12">
        <v>6.25E-2</v>
      </c>
      <c r="F19" s="12">
        <v>0.4375</v>
      </c>
      <c r="G19" s="12">
        <v>1</v>
      </c>
      <c r="I19" s="12"/>
    </row>
    <row r="20" spans="2:9" x14ac:dyDescent="0.25">
      <c r="B20" s="9" t="s">
        <v>2037</v>
      </c>
      <c r="C20" s="12">
        <v>0</v>
      </c>
      <c r="D20" s="12">
        <v>0</v>
      </c>
      <c r="E20" s="12">
        <v>0</v>
      </c>
      <c r="F20" s="12">
        <v>1</v>
      </c>
      <c r="G20" s="12">
        <v>1</v>
      </c>
      <c r="I20" s="12"/>
    </row>
    <row r="21" spans="2:9" x14ac:dyDescent="0.25">
      <c r="B21" s="9" t="s">
        <v>2038</v>
      </c>
      <c r="C21" s="12">
        <v>5.7142857142857141E-2</v>
      </c>
      <c r="D21" s="12">
        <v>0.37714285714285717</v>
      </c>
      <c r="E21" s="12">
        <v>0</v>
      </c>
      <c r="F21" s="12">
        <v>0.56571428571428573</v>
      </c>
      <c r="G21" s="12">
        <v>1</v>
      </c>
    </row>
    <row r="22" spans="2:9" x14ac:dyDescent="0.25">
      <c r="B22" s="9" t="s">
        <v>2039</v>
      </c>
      <c r="C22" s="12">
        <v>9.5238095238095233E-2</v>
      </c>
      <c r="D22" s="12">
        <v>0.26190476190476192</v>
      </c>
      <c r="E22" s="12">
        <v>2.3809523809523808E-2</v>
      </c>
      <c r="F22" s="12">
        <v>0.61904761904761907</v>
      </c>
      <c r="G22" s="12">
        <v>1</v>
      </c>
    </row>
    <row r="23" spans="2:9" x14ac:dyDescent="0.25">
      <c r="B23" s="9" t="s">
        <v>2040</v>
      </c>
      <c r="C23" s="12">
        <v>2.9850746268656716E-2</v>
      </c>
      <c r="D23" s="12">
        <v>0.35820895522388058</v>
      </c>
      <c r="E23" s="12">
        <v>1.4925373134328358E-2</v>
      </c>
      <c r="F23" s="12">
        <v>0.59701492537313428</v>
      </c>
      <c r="G23" s="12">
        <v>1</v>
      </c>
    </row>
    <row r="24" spans="2:9" x14ac:dyDescent="0.25">
      <c r="B24" s="9" t="s">
        <v>2041</v>
      </c>
      <c r="C24" s="12">
        <v>2.0833333333333332E-2</v>
      </c>
      <c r="D24" s="12">
        <v>0.29166666666666669</v>
      </c>
      <c r="E24" s="12">
        <v>2.0833333333333332E-2</v>
      </c>
      <c r="F24" s="12">
        <v>0.66666666666666663</v>
      </c>
      <c r="G24" s="12">
        <v>1</v>
      </c>
    </row>
    <row r="25" spans="2:9" x14ac:dyDescent="0.25">
      <c r="B25" s="9" t="s">
        <v>2042</v>
      </c>
      <c r="C25" s="12">
        <v>6.6860465116279064E-2</v>
      </c>
      <c r="D25" s="12">
        <v>0.38372093023255816</v>
      </c>
      <c r="E25" s="12">
        <v>5.8139534883720929E-3</v>
      </c>
      <c r="F25" s="12">
        <v>0.54360465116279066</v>
      </c>
      <c r="G25" s="12">
        <v>1</v>
      </c>
    </row>
    <row r="26" spans="2:9" x14ac:dyDescent="0.25">
      <c r="B26" s="9" t="s">
        <v>2043</v>
      </c>
      <c r="C26" s="12">
        <v>5.7000000000000002E-2</v>
      </c>
      <c r="D26" s="12">
        <v>0.36399999999999999</v>
      </c>
      <c r="E26" s="12">
        <v>1.4E-2</v>
      </c>
      <c r="F26" s="12">
        <v>0.56499999999999995</v>
      </c>
      <c r="G26" s="12">
        <v>1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47D6-0C6A-41B7-84DE-71DBC0D0F43E}">
  <sheetPr codeName="Sheet3"/>
  <dimension ref="B3:AA32"/>
  <sheetViews>
    <sheetView zoomScale="70" zoomScaleNormal="70" workbookViewId="0">
      <selection activeCell="AG9" sqref="AG9"/>
    </sheetView>
  </sheetViews>
  <sheetFormatPr defaultRowHeight="15.75" x14ac:dyDescent="0.25"/>
  <cols>
    <col min="2" max="2" width="17.375" bestFit="1" customWidth="1"/>
    <col min="3" max="3" width="13.25" bestFit="1" customWidth="1"/>
    <col min="4" max="4" width="5.625" bestFit="1" customWidth="1"/>
    <col min="5" max="5" width="3.75" bestFit="1" customWidth="1"/>
    <col min="6" max="6" width="9.5" bestFit="1" customWidth="1"/>
    <col min="7" max="7" width="11" bestFit="1" customWidth="1"/>
    <col min="22" max="22" width="17.375" bestFit="1" customWidth="1"/>
    <col min="23" max="23" width="16.125" bestFit="1" customWidth="1"/>
    <col min="24" max="24" width="7" bestFit="1" customWidth="1"/>
    <col min="25" max="25" width="6" bestFit="1" customWidth="1"/>
    <col min="26" max="26" width="9.5" bestFit="1" customWidth="1"/>
    <col min="27" max="27" width="11" bestFit="1" customWidth="1"/>
  </cols>
  <sheetData>
    <row r="3" spans="2:27" x14ac:dyDescent="0.25">
      <c r="B3" s="8" t="s">
        <v>6</v>
      </c>
      <c r="C3" t="s">
        <v>2070</v>
      </c>
      <c r="V3" s="8" t="s">
        <v>6</v>
      </c>
      <c r="W3" t="s">
        <v>2070</v>
      </c>
    </row>
    <row r="4" spans="2:27" x14ac:dyDescent="0.25">
      <c r="B4" s="8" t="s">
        <v>2031</v>
      </c>
      <c r="C4" t="s">
        <v>2070</v>
      </c>
      <c r="V4" s="8" t="s">
        <v>2031</v>
      </c>
      <c r="W4" t="s">
        <v>2070</v>
      </c>
    </row>
    <row r="6" spans="2:27" x14ac:dyDescent="0.25">
      <c r="B6" s="8" t="s">
        <v>2045</v>
      </c>
      <c r="C6" s="8" t="s">
        <v>2033</v>
      </c>
      <c r="V6" s="8" t="s">
        <v>2045</v>
      </c>
      <c r="W6" s="8" t="s">
        <v>2033</v>
      </c>
    </row>
    <row r="7" spans="2:27" x14ac:dyDescent="0.25">
      <c r="B7" s="8" t="s">
        <v>2044</v>
      </c>
      <c r="C7" t="s">
        <v>74</v>
      </c>
      <c r="D7" t="s">
        <v>14</v>
      </c>
      <c r="E7" t="s">
        <v>47</v>
      </c>
      <c r="F7" t="s">
        <v>20</v>
      </c>
      <c r="G7" t="s">
        <v>2043</v>
      </c>
      <c r="V7" s="8" t="s">
        <v>2044</v>
      </c>
      <c r="W7" t="s">
        <v>74</v>
      </c>
      <c r="X7" t="s">
        <v>14</v>
      </c>
      <c r="Y7" t="s">
        <v>47</v>
      </c>
      <c r="Z7" t="s">
        <v>20</v>
      </c>
      <c r="AA7" t="s">
        <v>2043</v>
      </c>
    </row>
    <row r="8" spans="2:27" x14ac:dyDescent="0.25">
      <c r="B8" s="9" t="s">
        <v>2046</v>
      </c>
      <c r="C8">
        <v>1</v>
      </c>
      <c r="D8">
        <v>10</v>
      </c>
      <c r="E8">
        <v>2</v>
      </c>
      <c r="F8">
        <v>21</v>
      </c>
      <c r="G8">
        <v>34</v>
      </c>
      <c r="V8" s="9" t="s">
        <v>2046</v>
      </c>
      <c r="W8" s="12">
        <v>2.9411764705882353E-2</v>
      </c>
      <c r="X8" s="12">
        <v>0.29411764705882354</v>
      </c>
      <c r="Y8" s="12">
        <v>5.8823529411764705E-2</v>
      </c>
      <c r="Z8" s="12">
        <v>0.61764705882352944</v>
      </c>
      <c r="AA8" s="12">
        <v>1</v>
      </c>
    </row>
    <row r="9" spans="2:27" x14ac:dyDescent="0.25">
      <c r="B9" s="9" t="s">
        <v>2047</v>
      </c>
      <c r="F9">
        <v>4</v>
      </c>
      <c r="G9">
        <v>4</v>
      </c>
      <c r="V9" s="9" t="s">
        <v>2047</v>
      </c>
      <c r="W9" s="12">
        <v>0</v>
      </c>
      <c r="X9" s="12">
        <v>0</v>
      </c>
      <c r="Y9" s="12">
        <v>0</v>
      </c>
      <c r="Z9" s="12">
        <v>1</v>
      </c>
      <c r="AA9" s="12">
        <v>1</v>
      </c>
    </row>
    <row r="10" spans="2:27" x14ac:dyDescent="0.25">
      <c r="B10" s="9" t="s">
        <v>2048</v>
      </c>
      <c r="C10">
        <v>4</v>
      </c>
      <c r="D10">
        <v>21</v>
      </c>
      <c r="E10">
        <v>1</v>
      </c>
      <c r="F10">
        <v>34</v>
      </c>
      <c r="G10">
        <v>60</v>
      </c>
      <c r="V10" s="9" t="s">
        <v>2048</v>
      </c>
      <c r="W10" s="12">
        <v>6.6666666666666666E-2</v>
      </c>
      <c r="X10" s="12">
        <v>0.35</v>
      </c>
      <c r="Y10" s="12">
        <v>1.6666666666666666E-2</v>
      </c>
      <c r="Z10" s="12">
        <v>0.56666666666666665</v>
      </c>
      <c r="AA10" s="12">
        <v>1</v>
      </c>
    </row>
    <row r="11" spans="2:27" x14ac:dyDescent="0.25">
      <c r="B11" s="9" t="s">
        <v>2049</v>
      </c>
      <c r="C11">
        <v>2</v>
      </c>
      <c r="D11">
        <v>12</v>
      </c>
      <c r="E11">
        <v>1</v>
      </c>
      <c r="F11">
        <v>22</v>
      </c>
      <c r="G11">
        <v>37</v>
      </c>
      <c r="V11" s="9" t="s">
        <v>2049</v>
      </c>
      <c r="W11" s="12">
        <v>5.4054054054054057E-2</v>
      </c>
      <c r="X11" s="12">
        <v>0.32432432432432434</v>
      </c>
      <c r="Y11" s="12">
        <v>2.7027027027027029E-2</v>
      </c>
      <c r="Z11" s="12">
        <v>0.59459459459459463</v>
      </c>
      <c r="AA11" s="12">
        <v>1</v>
      </c>
    </row>
    <row r="12" spans="2:27" x14ac:dyDescent="0.25">
      <c r="B12" s="9" t="s">
        <v>2050</v>
      </c>
      <c r="D12">
        <v>8</v>
      </c>
      <c r="F12">
        <v>10</v>
      </c>
      <c r="G12">
        <v>18</v>
      </c>
      <c r="V12" s="9" t="s">
        <v>2050</v>
      </c>
      <c r="W12" s="12">
        <v>0</v>
      </c>
      <c r="X12" s="12">
        <v>0.44444444444444442</v>
      </c>
      <c r="Y12" s="12">
        <v>0</v>
      </c>
      <c r="Z12" s="12">
        <v>0.55555555555555558</v>
      </c>
      <c r="AA12" s="12">
        <v>1</v>
      </c>
    </row>
    <row r="13" spans="2:27" x14ac:dyDescent="0.25">
      <c r="B13" s="9" t="s">
        <v>2051</v>
      </c>
      <c r="C13">
        <v>1</v>
      </c>
      <c r="D13">
        <v>7</v>
      </c>
      <c r="F13">
        <v>9</v>
      </c>
      <c r="G13">
        <v>17</v>
      </c>
      <c r="V13" s="9" t="s">
        <v>2051</v>
      </c>
      <c r="W13" s="12">
        <v>5.8823529411764705E-2</v>
      </c>
      <c r="X13" s="12">
        <v>0.41176470588235292</v>
      </c>
      <c r="Y13" s="12">
        <v>0</v>
      </c>
      <c r="Z13" s="12">
        <v>0.52941176470588236</v>
      </c>
      <c r="AA13" s="12">
        <v>1</v>
      </c>
    </row>
    <row r="14" spans="2:27" x14ac:dyDescent="0.25">
      <c r="B14" s="9" t="s">
        <v>2052</v>
      </c>
      <c r="C14">
        <v>4</v>
      </c>
      <c r="D14">
        <v>20</v>
      </c>
      <c r="F14">
        <v>22</v>
      </c>
      <c r="G14">
        <v>46</v>
      </c>
      <c r="V14" s="9" t="s">
        <v>2052</v>
      </c>
      <c r="W14" s="12">
        <v>8.6956521739130432E-2</v>
      </c>
      <c r="X14" s="12">
        <v>0.43478260869565216</v>
      </c>
      <c r="Y14" s="12">
        <v>0</v>
      </c>
      <c r="Z14" s="12">
        <v>0.47826086956521741</v>
      </c>
      <c r="AA14" s="12">
        <v>1</v>
      </c>
    </row>
    <row r="15" spans="2:27" x14ac:dyDescent="0.25">
      <c r="B15" s="9" t="s">
        <v>2053</v>
      </c>
      <c r="C15">
        <v>3</v>
      </c>
      <c r="D15">
        <v>19</v>
      </c>
      <c r="F15">
        <v>23</v>
      </c>
      <c r="G15">
        <v>45</v>
      </c>
      <c r="V15" s="9" t="s">
        <v>2053</v>
      </c>
      <c r="W15" s="12">
        <v>6.6666666666666666E-2</v>
      </c>
      <c r="X15" s="12">
        <v>0.42222222222222222</v>
      </c>
      <c r="Y15" s="12">
        <v>0</v>
      </c>
      <c r="Z15" s="12">
        <v>0.51111111111111107</v>
      </c>
      <c r="AA15" s="12">
        <v>1</v>
      </c>
    </row>
    <row r="16" spans="2:27" x14ac:dyDescent="0.25">
      <c r="B16" s="9" t="s">
        <v>2054</v>
      </c>
      <c r="C16">
        <v>1</v>
      </c>
      <c r="D16">
        <v>6</v>
      </c>
      <c r="F16">
        <v>10</v>
      </c>
      <c r="G16">
        <v>17</v>
      </c>
      <c r="V16" s="9" t="s">
        <v>2054</v>
      </c>
      <c r="W16" s="12">
        <v>5.8823529411764705E-2</v>
      </c>
      <c r="X16" s="12">
        <v>0.35294117647058826</v>
      </c>
      <c r="Y16" s="12">
        <v>0</v>
      </c>
      <c r="Z16" s="12">
        <v>0.58823529411764708</v>
      </c>
      <c r="AA16" s="12">
        <v>1</v>
      </c>
    </row>
    <row r="17" spans="2:27" x14ac:dyDescent="0.25">
      <c r="B17" s="9" t="s">
        <v>2055</v>
      </c>
      <c r="D17">
        <v>3</v>
      </c>
      <c r="F17">
        <v>4</v>
      </c>
      <c r="G17">
        <v>7</v>
      </c>
      <c r="V17" s="9" t="s">
        <v>2055</v>
      </c>
      <c r="W17" s="12">
        <v>0</v>
      </c>
      <c r="X17" s="12">
        <v>0.42857142857142855</v>
      </c>
      <c r="Y17" s="12">
        <v>0</v>
      </c>
      <c r="Z17" s="12">
        <v>0.5714285714285714</v>
      </c>
      <c r="AA17" s="12">
        <v>1</v>
      </c>
    </row>
    <row r="18" spans="2:27" x14ac:dyDescent="0.25">
      <c r="B18" s="9" t="s">
        <v>2056</v>
      </c>
      <c r="D18">
        <v>8</v>
      </c>
      <c r="E18">
        <v>1</v>
      </c>
      <c r="F18">
        <v>4</v>
      </c>
      <c r="G18">
        <v>13</v>
      </c>
      <c r="V18" s="9" t="s">
        <v>2056</v>
      </c>
      <c r="W18" s="12">
        <v>0</v>
      </c>
      <c r="X18" s="12">
        <v>0.61538461538461542</v>
      </c>
      <c r="Y18" s="12">
        <v>7.6923076923076927E-2</v>
      </c>
      <c r="Z18" s="12">
        <v>0.30769230769230771</v>
      </c>
      <c r="AA18" s="12">
        <v>1</v>
      </c>
    </row>
    <row r="19" spans="2:27" x14ac:dyDescent="0.25">
      <c r="B19" s="9" t="s">
        <v>2057</v>
      </c>
      <c r="C19">
        <v>1</v>
      </c>
      <c r="D19">
        <v>6</v>
      </c>
      <c r="E19">
        <v>1</v>
      </c>
      <c r="F19">
        <v>13</v>
      </c>
      <c r="G19">
        <v>21</v>
      </c>
      <c r="V19" s="9" t="s">
        <v>2057</v>
      </c>
      <c r="W19" s="12">
        <v>4.7619047619047616E-2</v>
      </c>
      <c r="X19" s="12">
        <v>0.2857142857142857</v>
      </c>
      <c r="Y19" s="12">
        <v>4.7619047619047616E-2</v>
      </c>
      <c r="Z19" s="12">
        <v>0.61904761904761907</v>
      </c>
      <c r="AA19" s="12">
        <v>1</v>
      </c>
    </row>
    <row r="20" spans="2:27" x14ac:dyDescent="0.25">
      <c r="B20" s="9" t="s">
        <v>2058</v>
      </c>
      <c r="C20">
        <v>4</v>
      </c>
      <c r="D20">
        <v>11</v>
      </c>
      <c r="E20">
        <v>1</v>
      </c>
      <c r="F20">
        <v>26</v>
      </c>
      <c r="G20">
        <v>42</v>
      </c>
      <c r="V20" s="9" t="s">
        <v>2058</v>
      </c>
      <c r="W20" s="12">
        <v>9.5238095238095233E-2</v>
      </c>
      <c r="X20" s="12">
        <v>0.26190476190476192</v>
      </c>
      <c r="Y20" s="12">
        <v>2.3809523809523808E-2</v>
      </c>
      <c r="Z20" s="12">
        <v>0.61904761904761907</v>
      </c>
      <c r="AA20" s="12">
        <v>1</v>
      </c>
    </row>
    <row r="21" spans="2:27" x14ac:dyDescent="0.25">
      <c r="B21" s="9" t="s">
        <v>2059</v>
      </c>
      <c r="C21">
        <v>23</v>
      </c>
      <c r="D21">
        <v>132</v>
      </c>
      <c r="E21">
        <v>2</v>
      </c>
      <c r="F21">
        <v>187</v>
      </c>
      <c r="G21">
        <v>344</v>
      </c>
      <c r="V21" s="9" t="s">
        <v>2059</v>
      </c>
      <c r="W21" s="12">
        <v>6.6860465116279064E-2</v>
      </c>
      <c r="X21" s="12">
        <v>0.38372093023255816</v>
      </c>
      <c r="Y21" s="12">
        <v>5.8139534883720929E-3</v>
      </c>
      <c r="Z21" s="12">
        <v>0.54360465116279066</v>
      </c>
      <c r="AA21" s="12">
        <v>1</v>
      </c>
    </row>
    <row r="22" spans="2:27" x14ac:dyDescent="0.25">
      <c r="B22" s="9" t="s">
        <v>2060</v>
      </c>
      <c r="D22">
        <v>4</v>
      </c>
      <c r="F22">
        <v>4</v>
      </c>
      <c r="G22">
        <v>8</v>
      </c>
      <c r="V22" s="9" t="s">
        <v>2060</v>
      </c>
      <c r="W22" s="12">
        <v>0</v>
      </c>
      <c r="X22" s="12">
        <v>0.5</v>
      </c>
      <c r="Y22" s="12">
        <v>0</v>
      </c>
      <c r="Z22" s="12">
        <v>0.5</v>
      </c>
      <c r="AA22" s="12">
        <v>1</v>
      </c>
    </row>
    <row r="23" spans="2:27" x14ac:dyDescent="0.25">
      <c r="B23" s="9" t="s">
        <v>2061</v>
      </c>
      <c r="C23">
        <v>6</v>
      </c>
      <c r="D23">
        <v>30</v>
      </c>
      <c r="F23">
        <v>49</v>
      </c>
      <c r="G23">
        <v>85</v>
      </c>
      <c r="V23" s="9" t="s">
        <v>2061</v>
      </c>
      <c r="W23" s="12">
        <v>7.0588235294117646E-2</v>
      </c>
      <c r="X23" s="12">
        <v>0.35294117647058826</v>
      </c>
      <c r="Y23" s="12">
        <v>0</v>
      </c>
      <c r="Z23" s="12">
        <v>0.57647058823529407</v>
      </c>
      <c r="AA23" s="12">
        <v>1</v>
      </c>
    </row>
    <row r="24" spans="2:27" x14ac:dyDescent="0.25">
      <c r="B24" s="9" t="s">
        <v>2062</v>
      </c>
      <c r="D24">
        <v>9</v>
      </c>
      <c r="F24">
        <v>5</v>
      </c>
      <c r="G24">
        <v>14</v>
      </c>
      <c r="V24" s="9" t="s">
        <v>2062</v>
      </c>
      <c r="W24" s="12">
        <v>0</v>
      </c>
      <c r="X24" s="12">
        <v>0.6428571428571429</v>
      </c>
      <c r="Y24" s="12">
        <v>0</v>
      </c>
      <c r="Z24" s="12">
        <v>0.35714285714285715</v>
      </c>
      <c r="AA24" s="12">
        <v>1</v>
      </c>
    </row>
    <row r="25" spans="2:27" x14ac:dyDescent="0.25">
      <c r="B25" s="9" t="s">
        <v>2063</v>
      </c>
      <c r="C25">
        <v>1</v>
      </c>
      <c r="D25">
        <v>5</v>
      </c>
      <c r="E25">
        <v>1</v>
      </c>
      <c r="F25">
        <v>9</v>
      </c>
      <c r="G25">
        <v>16</v>
      </c>
      <c r="V25" s="9" t="s">
        <v>2063</v>
      </c>
      <c r="W25" s="12">
        <v>6.25E-2</v>
      </c>
      <c r="X25" s="12">
        <v>0.3125</v>
      </c>
      <c r="Y25" s="12">
        <v>6.25E-2</v>
      </c>
      <c r="Z25" s="12">
        <v>0.5625</v>
      </c>
      <c r="AA25" s="12">
        <v>1</v>
      </c>
    </row>
    <row r="26" spans="2:27" x14ac:dyDescent="0.25">
      <c r="B26" s="9" t="s">
        <v>2064</v>
      </c>
      <c r="C26">
        <v>3</v>
      </c>
      <c r="D26">
        <v>3</v>
      </c>
      <c r="F26">
        <v>11</v>
      </c>
      <c r="G26">
        <v>17</v>
      </c>
      <c r="V26" s="9" t="s">
        <v>2064</v>
      </c>
      <c r="W26" s="12">
        <v>0.17647058823529413</v>
      </c>
      <c r="X26" s="12">
        <v>0.17647058823529413</v>
      </c>
      <c r="Y26" s="12">
        <v>0</v>
      </c>
      <c r="Z26" s="12">
        <v>0.6470588235294118</v>
      </c>
      <c r="AA26" s="12">
        <v>1</v>
      </c>
    </row>
    <row r="27" spans="2:27" x14ac:dyDescent="0.25">
      <c r="B27" s="9" t="s">
        <v>2065</v>
      </c>
      <c r="D27">
        <v>7</v>
      </c>
      <c r="F27">
        <v>14</v>
      </c>
      <c r="G27">
        <v>21</v>
      </c>
      <c r="V27" s="9" t="s">
        <v>2065</v>
      </c>
      <c r="W27" s="12">
        <v>0</v>
      </c>
      <c r="X27" s="12">
        <v>0.33333333333333331</v>
      </c>
      <c r="Y27" s="12">
        <v>0</v>
      </c>
      <c r="Z27" s="12">
        <v>0.66666666666666663</v>
      </c>
      <c r="AA27" s="12">
        <v>1</v>
      </c>
    </row>
    <row r="28" spans="2:27" x14ac:dyDescent="0.25">
      <c r="B28" s="9" t="s">
        <v>2066</v>
      </c>
      <c r="C28">
        <v>1</v>
      </c>
      <c r="D28">
        <v>15</v>
      </c>
      <c r="E28">
        <v>2</v>
      </c>
      <c r="F28">
        <v>17</v>
      </c>
      <c r="G28">
        <v>35</v>
      </c>
      <c r="V28" s="9" t="s">
        <v>2066</v>
      </c>
      <c r="W28" s="12">
        <v>2.8571428571428571E-2</v>
      </c>
      <c r="X28" s="12">
        <v>0.42857142857142855</v>
      </c>
      <c r="Y28" s="12">
        <v>5.7142857142857141E-2</v>
      </c>
      <c r="Z28" s="12">
        <v>0.48571428571428571</v>
      </c>
      <c r="AA28" s="12">
        <v>1</v>
      </c>
    </row>
    <row r="29" spans="2:27" x14ac:dyDescent="0.25">
      <c r="B29" s="9" t="s">
        <v>2067</v>
      </c>
      <c r="D29">
        <v>16</v>
      </c>
      <c r="E29">
        <v>1</v>
      </c>
      <c r="F29">
        <v>28</v>
      </c>
      <c r="G29">
        <v>45</v>
      </c>
      <c r="V29" s="9" t="s">
        <v>2067</v>
      </c>
      <c r="W29" s="12">
        <v>0</v>
      </c>
      <c r="X29" s="12">
        <v>0.35555555555555557</v>
      </c>
      <c r="Y29" s="12">
        <v>2.2222222222222223E-2</v>
      </c>
      <c r="Z29" s="12">
        <v>0.62222222222222223</v>
      </c>
      <c r="AA29" s="12">
        <v>1</v>
      </c>
    </row>
    <row r="30" spans="2:27" x14ac:dyDescent="0.25">
      <c r="B30" s="9" t="s">
        <v>2068</v>
      </c>
      <c r="C30">
        <v>2</v>
      </c>
      <c r="D30">
        <v>12</v>
      </c>
      <c r="E30">
        <v>1</v>
      </c>
      <c r="F30">
        <v>36</v>
      </c>
      <c r="G30">
        <v>51</v>
      </c>
      <c r="V30" s="9" t="s">
        <v>2068</v>
      </c>
      <c r="W30" s="12">
        <v>3.9215686274509803E-2</v>
      </c>
      <c r="X30" s="12">
        <v>0.23529411764705882</v>
      </c>
      <c r="Y30" s="12">
        <v>1.9607843137254902E-2</v>
      </c>
      <c r="Z30" s="12">
        <v>0.70588235294117652</v>
      </c>
      <c r="AA30" s="12">
        <v>1</v>
      </c>
    </row>
    <row r="31" spans="2:27" x14ac:dyDescent="0.25">
      <c r="B31" s="9" t="s">
        <v>2069</v>
      </c>
      <c r="F31">
        <v>3</v>
      </c>
      <c r="G31">
        <v>3</v>
      </c>
      <c r="V31" s="9" t="s">
        <v>2069</v>
      </c>
      <c r="W31" s="12">
        <v>0</v>
      </c>
      <c r="X31" s="12">
        <v>0</v>
      </c>
      <c r="Y31" s="12">
        <v>0</v>
      </c>
      <c r="Z31" s="12">
        <v>1</v>
      </c>
      <c r="AA31" s="12">
        <v>1</v>
      </c>
    </row>
    <row r="32" spans="2:27" x14ac:dyDescent="0.25">
      <c r="B32" s="9" t="s">
        <v>2043</v>
      </c>
      <c r="C32">
        <v>57</v>
      </c>
      <c r="D32">
        <v>364</v>
      </c>
      <c r="E32">
        <v>14</v>
      </c>
      <c r="F32">
        <v>565</v>
      </c>
      <c r="G32">
        <v>1000</v>
      </c>
      <c r="V32" s="9" t="s">
        <v>2043</v>
      </c>
      <c r="W32" s="12">
        <v>5.7000000000000002E-2</v>
      </c>
      <c r="X32" s="12">
        <v>0.36399999999999999</v>
      </c>
      <c r="Y32" s="12">
        <v>1.4E-2</v>
      </c>
      <c r="Z32" s="12">
        <v>0.56499999999999995</v>
      </c>
      <c r="AA32" s="12">
        <v>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2F81-E6D5-4085-9F95-FFEDFE10842F}">
  <sheetPr codeName="Sheet4"/>
  <dimension ref="B1:G37"/>
  <sheetViews>
    <sheetView topLeftCell="A4" workbookViewId="0">
      <selection activeCell="L27" sqref="L27"/>
    </sheetView>
  </sheetViews>
  <sheetFormatPr defaultRowHeight="15.75" x14ac:dyDescent="0.25"/>
  <cols>
    <col min="2" max="2" width="16.25" bestFit="1" customWidth="1"/>
    <col min="3" max="3" width="15.25" bestFit="1" customWidth="1"/>
    <col min="4" max="4" width="6.875" bestFit="1" customWidth="1"/>
    <col min="5" max="5" width="5.875" bestFit="1" customWidth="1"/>
    <col min="6" max="6" width="9.25" bestFit="1" customWidth="1"/>
    <col min="7" max="7" width="10.875" bestFit="1" customWidth="1"/>
  </cols>
  <sheetData>
    <row r="1" spans="2:7" x14ac:dyDescent="0.25">
      <c r="B1" s="8" t="s">
        <v>2031</v>
      </c>
      <c r="C1" t="s">
        <v>2070</v>
      </c>
    </row>
    <row r="2" spans="2:7" x14ac:dyDescent="0.25">
      <c r="B2" s="8" t="s">
        <v>2085</v>
      </c>
      <c r="C2" t="s">
        <v>2070</v>
      </c>
    </row>
    <row r="4" spans="2:7" x14ac:dyDescent="0.25">
      <c r="B4" s="8" t="s">
        <v>2045</v>
      </c>
      <c r="C4" s="8" t="s">
        <v>2033</v>
      </c>
    </row>
    <row r="5" spans="2:7" x14ac:dyDescent="0.25">
      <c r="B5" s="8" t="s">
        <v>2044</v>
      </c>
      <c r="C5" t="s">
        <v>74</v>
      </c>
      <c r="D5" t="s">
        <v>14</v>
      </c>
      <c r="E5" t="s">
        <v>47</v>
      </c>
      <c r="F5" t="s">
        <v>20</v>
      </c>
      <c r="G5" t="s">
        <v>2043</v>
      </c>
    </row>
    <row r="6" spans="2:7" x14ac:dyDescent="0.25">
      <c r="B6" s="11" t="s">
        <v>2073</v>
      </c>
      <c r="C6">
        <v>6</v>
      </c>
      <c r="D6">
        <v>36</v>
      </c>
      <c r="E6">
        <v>1</v>
      </c>
      <c r="F6">
        <v>49</v>
      </c>
      <c r="G6">
        <v>92</v>
      </c>
    </row>
    <row r="7" spans="2:7" x14ac:dyDescent="0.25">
      <c r="B7" s="11" t="s">
        <v>2074</v>
      </c>
      <c r="C7">
        <v>7</v>
      </c>
      <c r="D7">
        <v>28</v>
      </c>
      <c r="F7">
        <v>44</v>
      </c>
      <c r="G7">
        <v>79</v>
      </c>
    </row>
    <row r="8" spans="2:7" x14ac:dyDescent="0.25">
      <c r="B8" s="11" t="s">
        <v>2075</v>
      </c>
      <c r="C8">
        <v>4</v>
      </c>
      <c r="D8">
        <v>33</v>
      </c>
      <c r="F8">
        <v>49</v>
      </c>
      <c r="G8">
        <v>86</v>
      </c>
    </row>
    <row r="9" spans="2:7" x14ac:dyDescent="0.25">
      <c r="B9" s="11" t="s">
        <v>2076</v>
      </c>
      <c r="C9">
        <v>1</v>
      </c>
      <c r="D9">
        <v>30</v>
      </c>
      <c r="E9">
        <v>1</v>
      </c>
      <c r="F9">
        <v>46</v>
      </c>
      <c r="G9">
        <v>78</v>
      </c>
    </row>
    <row r="10" spans="2:7" x14ac:dyDescent="0.25">
      <c r="B10" s="11" t="s">
        <v>2077</v>
      </c>
      <c r="C10">
        <v>3</v>
      </c>
      <c r="D10">
        <v>35</v>
      </c>
      <c r="E10">
        <v>2</v>
      </c>
      <c r="F10">
        <v>46</v>
      </c>
      <c r="G10">
        <v>86</v>
      </c>
    </row>
    <row r="11" spans="2:7" x14ac:dyDescent="0.25">
      <c r="B11" s="11" t="s">
        <v>2078</v>
      </c>
      <c r="C11">
        <v>3</v>
      </c>
      <c r="D11">
        <v>28</v>
      </c>
      <c r="E11">
        <v>1</v>
      </c>
      <c r="F11">
        <v>55</v>
      </c>
      <c r="G11">
        <v>87</v>
      </c>
    </row>
    <row r="12" spans="2:7" x14ac:dyDescent="0.25">
      <c r="B12" s="11" t="s">
        <v>2079</v>
      </c>
      <c r="C12">
        <v>4</v>
      </c>
      <c r="D12">
        <v>31</v>
      </c>
      <c r="E12">
        <v>1</v>
      </c>
      <c r="F12">
        <v>58</v>
      </c>
      <c r="G12">
        <v>94</v>
      </c>
    </row>
    <row r="13" spans="2:7" x14ac:dyDescent="0.25">
      <c r="B13" s="11" t="s">
        <v>2080</v>
      </c>
      <c r="C13">
        <v>8</v>
      </c>
      <c r="D13">
        <v>35</v>
      </c>
      <c r="E13">
        <v>1</v>
      </c>
      <c r="F13">
        <v>41</v>
      </c>
      <c r="G13">
        <v>85</v>
      </c>
    </row>
    <row r="14" spans="2:7" x14ac:dyDescent="0.25">
      <c r="B14" s="11" t="s">
        <v>2081</v>
      </c>
      <c r="C14">
        <v>5</v>
      </c>
      <c r="D14">
        <v>23</v>
      </c>
      <c r="F14">
        <v>45</v>
      </c>
      <c r="G14">
        <v>73</v>
      </c>
    </row>
    <row r="15" spans="2:7" x14ac:dyDescent="0.25">
      <c r="B15" s="11" t="s">
        <v>2082</v>
      </c>
      <c r="C15">
        <v>6</v>
      </c>
      <c r="D15">
        <v>26</v>
      </c>
      <c r="E15">
        <v>1</v>
      </c>
      <c r="F15">
        <v>45</v>
      </c>
      <c r="G15">
        <v>78</v>
      </c>
    </row>
    <row r="16" spans="2:7" x14ac:dyDescent="0.25">
      <c r="B16" s="11" t="s">
        <v>2083</v>
      </c>
      <c r="C16">
        <v>3</v>
      </c>
      <c r="D16">
        <v>27</v>
      </c>
      <c r="E16">
        <v>3</v>
      </c>
      <c r="F16">
        <v>45</v>
      </c>
      <c r="G16">
        <v>78</v>
      </c>
    </row>
    <row r="17" spans="2:7" x14ac:dyDescent="0.25">
      <c r="B17" s="11" t="s">
        <v>2084</v>
      </c>
      <c r="C17">
        <v>7</v>
      </c>
      <c r="D17">
        <v>32</v>
      </c>
      <c r="E17">
        <v>3</v>
      </c>
      <c r="F17">
        <v>42</v>
      </c>
      <c r="G17">
        <v>84</v>
      </c>
    </row>
    <row r="18" spans="2:7" x14ac:dyDescent="0.25">
      <c r="B18" s="11" t="s">
        <v>2043</v>
      </c>
      <c r="C18">
        <v>57</v>
      </c>
      <c r="D18">
        <v>364</v>
      </c>
      <c r="E18">
        <v>14</v>
      </c>
      <c r="F18">
        <v>565</v>
      </c>
      <c r="G18">
        <v>1000</v>
      </c>
    </row>
    <row r="20" spans="2:7" x14ac:dyDescent="0.25">
      <c r="B20" s="8" t="s">
        <v>2031</v>
      </c>
      <c r="C20" t="s">
        <v>2070</v>
      </c>
    </row>
    <row r="21" spans="2:7" x14ac:dyDescent="0.25">
      <c r="B21" s="8" t="s">
        <v>2085</v>
      </c>
      <c r="C21" t="s">
        <v>2070</v>
      </c>
    </row>
    <row r="23" spans="2:7" x14ac:dyDescent="0.25">
      <c r="B23" s="8" t="s">
        <v>2045</v>
      </c>
      <c r="C23" s="8" t="s">
        <v>2033</v>
      </c>
    </row>
    <row r="24" spans="2:7" x14ac:dyDescent="0.25">
      <c r="B24" s="8" t="s">
        <v>2044</v>
      </c>
      <c r="C24" t="s">
        <v>74</v>
      </c>
      <c r="D24" t="s">
        <v>14</v>
      </c>
      <c r="E24" t="s">
        <v>47</v>
      </c>
      <c r="F24" t="s">
        <v>20</v>
      </c>
      <c r="G24" t="s">
        <v>2043</v>
      </c>
    </row>
    <row r="25" spans="2:7" x14ac:dyDescent="0.25">
      <c r="B25" s="11" t="s">
        <v>2073</v>
      </c>
      <c r="C25" s="12">
        <v>6.5217391304347824E-2</v>
      </c>
      <c r="D25" s="12">
        <v>0.39130434782608697</v>
      </c>
      <c r="E25" s="12">
        <v>1.0869565217391304E-2</v>
      </c>
      <c r="F25" s="12">
        <v>0.53260869565217395</v>
      </c>
      <c r="G25" s="12">
        <v>1</v>
      </c>
    </row>
    <row r="26" spans="2:7" x14ac:dyDescent="0.25">
      <c r="B26" s="11" t="s">
        <v>2074</v>
      </c>
      <c r="C26" s="12">
        <v>8.8607594936708861E-2</v>
      </c>
      <c r="D26" s="12">
        <v>0.35443037974683544</v>
      </c>
      <c r="E26" s="12">
        <v>0</v>
      </c>
      <c r="F26" s="12">
        <v>0.55696202531645567</v>
      </c>
      <c r="G26" s="12">
        <v>1</v>
      </c>
    </row>
    <row r="27" spans="2:7" x14ac:dyDescent="0.25">
      <c r="B27" s="11" t="s">
        <v>2075</v>
      </c>
      <c r="C27" s="12">
        <v>4.6511627906976744E-2</v>
      </c>
      <c r="D27" s="12">
        <v>0.38372093023255816</v>
      </c>
      <c r="E27" s="12">
        <v>0</v>
      </c>
      <c r="F27" s="12">
        <v>0.56976744186046513</v>
      </c>
      <c r="G27" s="12">
        <v>1</v>
      </c>
    </row>
    <row r="28" spans="2:7" x14ac:dyDescent="0.25">
      <c r="B28" s="11" t="s">
        <v>2076</v>
      </c>
      <c r="C28" s="12">
        <v>1.282051282051282E-2</v>
      </c>
      <c r="D28" s="12">
        <v>0.38461538461538464</v>
      </c>
      <c r="E28" s="12">
        <v>1.282051282051282E-2</v>
      </c>
      <c r="F28" s="12">
        <v>0.58974358974358976</v>
      </c>
      <c r="G28" s="12">
        <v>1</v>
      </c>
    </row>
    <row r="29" spans="2:7" x14ac:dyDescent="0.25">
      <c r="B29" s="11" t="s">
        <v>2077</v>
      </c>
      <c r="C29" s="12">
        <v>3.4883720930232558E-2</v>
      </c>
      <c r="D29" s="12">
        <v>0.40697674418604651</v>
      </c>
      <c r="E29" s="12">
        <v>2.3255813953488372E-2</v>
      </c>
      <c r="F29" s="12">
        <v>0.53488372093023251</v>
      </c>
      <c r="G29" s="12">
        <v>1</v>
      </c>
    </row>
    <row r="30" spans="2:7" x14ac:dyDescent="0.25">
      <c r="B30" s="11" t="s">
        <v>2078</v>
      </c>
      <c r="C30" s="12">
        <v>3.4482758620689655E-2</v>
      </c>
      <c r="D30" s="12">
        <v>0.32183908045977011</v>
      </c>
      <c r="E30" s="12">
        <v>1.1494252873563218E-2</v>
      </c>
      <c r="F30" s="12">
        <v>0.63218390804597702</v>
      </c>
      <c r="G30" s="12">
        <v>1</v>
      </c>
    </row>
    <row r="31" spans="2:7" x14ac:dyDescent="0.25">
      <c r="B31" s="11" t="s">
        <v>2079</v>
      </c>
      <c r="C31" s="12">
        <v>4.2553191489361701E-2</v>
      </c>
      <c r="D31" s="12">
        <v>0.32978723404255317</v>
      </c>
      <c r="E31" s="12">
        <v>1.0638297872340425E-2</v>
      </c>
      <c r="F31" s="12">
        <v>0.61702127659574468</v>
      </c>
      <c r="G31" s="12">
        <v>1</v>
      </c>
    </row>
    <row r="32" spans="2:7" x14ac:dyDescent="0.25">
      <c r="B32" s="11" t="s">
        <v>2080</v>
      </c>
      <c r="C32" s="12">
        <v>9.4117647058823528E-2</v>
      </c>
      <c r="D32" s="12">
        <v>0.41176470588235292</v>
      </c>
      <c r="E32" s="12">
        <v>1.1764705882352941E-2</v>
      </c>
      <c r="F32" s="12">
        <v>0.4823529411764706</v>
      </c>
      <c r="G32" s="12">
        <v>1</v>
      </c>
    </row>
    <row r="33" spans="2:7" x14ac:dyDescent="0.25">
      <c r="B33" s="11" t="s">
        <v>2081</v>
      </c>
      <c r="C33" s="12">
        <v>6.8493150684931503E-2</v>
      </c>
      <c r="D33" s="12">
        <v>0.31506849315068491</v>
      </c>
      <c r="E33" s="12">
        <v>0</v>
      </c>
      <c r="F33" s="12">
        <v>0.61643835616438358</v>
      </c>
      <c r="G33" s="12">
        <v>1</v>
      </c>
    </row>
    <row r="34" spans="2:7" x14ac:dyDescent="0.25">
      <c r="B34" s="11" t="s">
        <v>2082</v>
      </c>
      <c r="C34" s="12">
        <v>7.6923076923076927E-2</v>
      </c>
      <c r="D34" s="12">
        <v>0.33333333333333331</v>
      </c>
      <c r="E34" s="12">
        <v>1.282051282051282E-2</v>
      </c>
      <c r="F34" s="12">
        <v>0.57692307692307687</v>
      </c>
      <c r="G34" s="12">
        <v>1</v>
      </c>
    </row>
    <row r="35" spans="2:7" x14ac:dyDescent="0.25">
      <c r="B35" s="11" t="s">
        <v>2083</v>
      </c>
      <c r="C35" s="12">
        <v>3.8461538461538464E-2</v>
      </c>
      <c r="D35" s="12">
        <v>0.34615384615384615</v>
      </c>
      <c r="E35" s="12">
        <v>3.8461538461538464E-2</v>
      </c>
      <c r="F35" s="12">
        <v>0.57692307692307687</v>
      </c>
      <c r="G35" s="12">
        <v>1</v>
      </c>
    </row>
    <row r="36" spans="2:7" x14ac:dyDescent="0.25">
      <c r="B36" s="11" t="s">
        <v>2084</v>
      </c>
      <c r="C36" s="12">
        <v>8.3333333333333329E-2</v>
      </c>
      <c r="D36" s="12">
        <v>0.38095238095238093</v>
      </c>
      <c r="E36" s="12">
        <v>3.5714285714285712E-2</v>
      </c>
      <c r="F36" s="12">
        <v>0.5</v>
      </c>
      <c r="G36" s="12">
        <v>1</v>
      </c>
    </row>
    <row r="37" spans="2:7" x14ac:dyDescent="0.25">
      <c r="B37" s="11" t="s">
        <v>2043</v>
      </c>
      <c r="C37" s="12">
        <v>5.7000000000000002E-2</v>
      </c>
      <c r="D37" s="12">
        <v>0.36399999999999999</v>
      </c>
      <c r="E37" s="12">
        <v>1.4E-2</v>
      </c>
      <c r="F37" s="12">
        <v>0.56499999999999995</v>
      </c>
      <c r="G37" s="12">
        <v>1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4FCA-B334-4CE0-94F8-BC8AF88FEEFA}">
  <dimension ref="A1:J13"/>
  <sheetViews>
    <sheetView workbookViewId="0">
      <selection activeCell="D4" sqref="D4"/>
    </sheetView>
  </sheetViews>
  <sheetFormatPr defaultRowHeight="15.75" x14ac:dyDescent="0.25"/>
  <cols>
    <col min="1" max="1" width="26.375" bestFit="1" customWidth="1"/>
    <col min="2" max="3" width="5.875" bestFit="1" customWidth="1"/>
    <col min="4" max="4" width="16.375" bestFit="1" customWidth="1"/>
    <col min="5" max="5" width="12.625" bestFit="1" customWidth="1"/>
    <col min="6" max="6" width="15.125" bestFit="1" customWidth="1"/>
    <col min="7" max="7" width="12" bestFit="1" customWidth="1"/>
    <col min="8" max="8" width="19.25" bestFit="1" customWidth="1"/>
    <col min="9" max="9" width="15.25" bestFit="1" customWidth="1"/>
    <col min="10" max="10" width="18.75" bestFit="1" customWidth="1"/>
  </cols>
  <sheetData>
    <row r="1" spans="1:10" x14ac:dyDescent="0.25">
      <c r="A1" t="s">
        <v>2104</v>
      </c>
      <c r="B1" t="s">
        <v>2093</v>
      </c>
      <c r="C1" t="s">
        <v>2094</v>
      </c>
      <c r="D1" t="s">
        <v>2105</v>
      </c>
      <c r="E1" t="s">
        <v>2106</v>
      </c>
      <c r="F1" t="s">
        <v>2123</v>
      </c>
      <c r="G1" t="s">
        <v>2107</v>
      </c>
      <c r="H1" t="s">
        <v>2108</v>
      </c>
      <c r="I1" t="s">
        <v>2109</v>
      </c>
      <c r="J1" t="s">
        <v>2110</v>
      </c>
    </row>
    <row r="2" spans="1:10" x14ac:dyDescent="0.25">
      <c r="A2" t="s">
        <v>2111</v>
      </c>
      <c r="B2">
        <v>0</v>
      </c>
      <c r="C2">
        <v>1000</v>
      </c>
      <c r="D2" s="18">
        <f>COUNTIFS(outcomes,"successful",goal,"&lt;" &amp; $C2)</f>
        <v>30</v>
      </c>
      <c r="E2" s="18">
        <f>COUNTIFS(outcomes,"failed",goal,"&lt;" &amp; $C2)</f>
        <v>20</v>
      </c>
      <c r="F2" s="18">
        <f>COUNTIFS(outcomes,"canceled",goal,"&lt;" &amp; $C2)</f>
        <v>1</v>
      </c>
      <c r="G2">
        <f>SUM(D2:F2)</f>
        <v>51</v>
      </c>
      <c r="H2" s="13">
        <f>D2/$G2</f>
        <v>0.58823529411764708</v>
      </c>
      <c r="I2" s="13">
        <f t="shared" ref="I2:J13" si="0">E2/$G2</f>
        <v>0.39215686274509803</v>
      </c>
      <c r="J2" s="13">
        <f t="shared" si="0"/>
        <v>1.9607843137254902E-2</v>
      </c>
    </row>
    <row r="3" spans="1:10" x14ac:dyDescent="0.25">
      <c r="A3" t="s">
        <v>2112</v>
      </c>
      <c r="B3">
        <v>1000</v>
      </c>
      <c r="C3">
        <v>4999</v>
      </c>
      <c r="D3" s="18">
        <f t="shared" ref="D3:D12" si="1">COUNTIFS(outcomes,"successful",goal,"&lt;" &amp; $C3,goal,"&gt;="&amp;$B3)</f>
        <v>191</v>
      </c>
      <c r="E3" s="18">
        <f t="shared" ref="E3:E12" si="2">COUNTIFS(outcomes,"failed",goal,"&lt;" &amp; $C3,goal,"&gt;="&amp;$B3)</f>
        <v>38</v>
      </c>
      <c r="F3" s="18">
        <f t="shared" ref="F3:F12" si="3">COUNTIFS(outcomes,"canceled",goal,"&lt;" &amp; $C3,goal,"&gt;="&amp;$B3)</f>
        <v>2</v>
      </c>
      <c r="G3">
        <f t="shared" ref="G3:G13" si="4">SUM(D3:F3)</f>
        <v>231</v>
      </c>
      <c r="H3" s="13">
        <f t="shared" ref="H3:H13" si="5">D3/$G3</f>
        <v>0.82683982683982682</v>
      </c>
      <c r="I3" s="13">
        <f t="shared" si="0"/>
        <v>0.16450216450216451</v>
      </c>
      <c r="J3" s="13">
        <f t="shared" si="0"/>
        <v>8.658008658008658E-3</v>
      </c>
    </row>
    <row r="4" spans="1:10" x14ac:dyDescent="0.25">
      <c r="A4" t="s">
        <v>2113</v>
      </c>
      <c r="B4">
        <v>5000</v>
      </c>
      <c r="C4">
        <v>9999</v>
      </c>
      <c r="D4" s="18">
        <f t="shared" si="1"/>
        <v>164</v>
      </c>
      <c r="E4" s="18">
        <f t="shared" si="2"/>
        <v>126</v>
      </c>
      <c r="F4" s="18">
        <f t="shared" si="3"/>
        <v>25</v>
      </c>
      <c r="G4">
        <f t="shared" si="4"/>
        <v>315</v>
      </c>
      <c r="H4" s="13">
        <f t="shared" si="5"/>
        <v>0.52063492063492067</v>
      </c>
      <c r="I4" s="13">
        <f t="shared" si="0"/>
        <v>0.4</v>
      </c>
      <c r="J4" s="13">
        <f t="shared" si="0"/>
        <v>7.9365079365079361E-2</v>
      </c>
    </row>
    <row r="5" spans="1:10" x14ac:dyDescent="0.25">
      <c r="A5" t="s">
        <v>2114</v>
      </c>
      <c r="B5">
        <v>10000</v>
      </c>
      <c r="C5">
        <v>14999</v>
      </c>
      <c r="D5" s="18">
        <f t="shared" si="1"/>
        <v>4</v>
      </c>
      <c r="E5" s="18">
        <f t="shared" si="2"/>
        <v>5</v>
      </c>
      <c r="F5" s="18">
        <f t="shared" si="3"/>
        <v>0</v>
      </c>
      <c r="G5">
        <f t="shared" si="4"/>
        <v>9</v>
      </c>
      <c r="H5" s="13">
        <f t="shared" si="5"/>
        <v>0.44444444444444442</v>
      </c>
      <c r="I5" s="13">
        <f t="shared" si="0"/>
        <v>0.55555555555555558</v>
      </c>
      <c r="J5" s="13">
        <f t="shared" si="0"/>
        <v>0</v>
      </c>
    </row>
    <row r="6" spans="1:10" x14ac:dyDescent="0.25">
      <c r="A6" t="s">
        <v>2115</v>
      </c>
      <c r="B6">
        <v>15000</v>
      </c>
      <c r="C6">
        <v>19999</v>
      </c>
      <c r="D6" s="18">
        <f t="shared" si="1"/>
        <v>10</v>
      </c>
      <c r="E6" s="18">
        <f t="shared" si="2"/>
        <v>0</v>
      </c>
      <c r="F6" s="18">
        <f t="shared" si="3"/>
        <v>0</v>
      </c>
      <c r="G6">
        <f t="shared" si="4"/>
        <v>10</v>
      </c>
      <c r="H6" s="13">
        <f t="shared" si="5"/>
        <v>1</v>
      </c>
      <c r="I6" s="13">
        <f t="shared" si="0"/>
        <v>0</v>
      </c>
      <c r="J6" s="13">
        <f t="shared" si="0"/>
        <v>0</v>
      </c>
    </row>
    <row r="7" spans="1:10" x14ac:dyDescent="0.25">
      <c r="A7" t="s">
        <v>2116</v>
      </c>
      <c r="B7">
        <v>20000</v>
      </c>
      <c r="C7">
        <v>24999</v>
      </c>
      <c r="D7" s="18">
        <f t="shared" si="1"/>
        <v>7</v>
      </c>
      <c r="E7" s="18">
        <f t="shared" si="2"/>
        <v>0</v>
      </c>
      <c r="F7" s="18">
        <f t="shared" si="3"/>
        <v>0</v>
      </c>
      <c r="G7">
        <f t="shared" si="4"/>
        <v>7</v>
      </c>
      <c r="H7" s="13">
        <f t="shared" si="5"/>
        <v>1</v>
      </c>
      <c r="I7" s="13">
        <f t="shared" si="0"/>
        <v>0</v>
      </c>
      <c r="J7" s="13">
        <f t="shared" si="0"/>
        <v>0</v>
      </c>
    </row>
    <row r="8" spans="1:10" x14ac:dyDescent="0.25">
      <c r="A8" t="s">
        <v>2117</v>
      </c>
      <c r="B8">
        <v>25000</v>
      </c>
      <c r="C8">
        <v>29999</v>
      </c>
      <c r="D8" s="18">
        <f t="shared" si="1"/>
        <v>11</v>
      </c>
      <c r="E8" s="18">
        <f t="shared" si="2"/>
        <v>3</v>
      </c>
      <c r="F8" s="18">
        <f t="shared" si="3"/>
        <v>0</v>
      </c>
      <c r="G8">
        <f t="shared" si="4"/>
        <v>14</v>
      </c>
      <c r="H8" s="13">
        <f t="shared" si="5"/>
        <v>0.7857142857142857</v>
      </c>
      <c r="I8" s="13">
        <f t="shared" si="0"/>
        <v>0.21428571428571427</v>
      </c>
      <c r="J8" s="13">
        <f t="shared" si="0"/>
        <v>0</v>
      </c>
    </row>
    <row r="9" spans="1:10" x14ac:dyDescent="0.25">
      <c r="A9" t="s">
        <v>2118</v>
      </c>
      <c r="B9">
        <v>30000</v>
      </c>
      <c r="C9">
        <v>34999</v>
      </c>
      <c r="D9" s="18">
        <f t="shared" si="1"/>
        <v>7</v>
      </c>
      <c r="E9" s="18">
        <f t="shared" si="2"/>
        <v>0</v>
      </c>
      <c r="F9" s="18">
        <f t="shared" si="3"/>
        <v>0</v>
      </c>
      <c r="G9">
        <f t="shared" si="4"/>
        <v>7</v>
      </c>
      <c r="H9" s="13">
        <f t="shared" si="5"/>
        <v>1</v>
      </c>
      <c r="I9" s="13">
        <f t="shared" si="0"/>
        <v>0</v>
      </c>
      <c r="J9" s="13">
        <f t="shared" si="0"/>
        <v>0</v>
      </c>
    </row>
    <row r="10" spans="1:10" x14ac:dyDescent="0.25">
      <c r="A10" t="s">
        <v>2119</v>
      </c>
      <c r="B10">
        <v>35000</v>
      </c>
      <c r="C10">
        <v>39999</v>
      </c>
      <c r="D10" s="18">
        <f t="shared" si="1"/>
        <v>8</v>
      </c>
      <c r="E10" s="18">
        <f t="shared" si="2"/>
        <v>3</v>
      </c>
      <c r="F10" s="18">
        <f t="shared" si="3"/>
        <v>1</v>
      </c>
      <c r="G10">
        <f t="shared" si="4"/>
        <v>12</v>
      </c>
      <c r="H10" s="13">
        <f t="shared" si="5"/>
        <v>0.66666666666666663</v>
      </c>
      <c r="I10" s="13">
        <f t="shared" si="0"/>
        <v>0.25</v>
      </c>
      <c r="J10" s="13">
        <f t="shared" si="0"/>
        <v>8.3333333333333329E-2</v>
      </c>
    </row>
    <row r="11" spans="1:10" x14ac:dyDescent="0.25">
      <c r="A11" t="s">
        <v>2120</v>
      </c>
      <c r="B11">
        <v>40000</v>
      </c>
      <c r="C11">
        <v>44999</v>
      </c>
      <c r="D11" s="18">
        <f t="shared" si="1"/>
        <v>11</v>
      </c>
      <c r="E11" s="18">
        <f t="shared" si="2"/>
        <v>3</v>
      </c>
      <c r="F11" s="18">
        <f t="shared" si="3"/>
        <v>0</v>
      </c>
      <c r="G11">
        <f t="shared" si="4"/>
        <v>14</v>
      </c>
      <c r="H11" s="13">
        <f t="shared" si="5"/>
        <v>0.7857142857142857</v>
      </c>
      <c r="I11" s="13">
        <f t="shared" si="0"/>
        <v>0.21428571428571427</v>
      </c>
      <c r="J11" s="13">
        <f t="shared" si="0"/>
        <v>0</v>
      </c>
    </row>
    <row r="12" spans="1:10" x14ac:dyDescent="0.25">
      <c r="A12" t="s">
        <v>2121</v>
      </c>
      <c r="B12">
        <v>45000</v>
      </c>
      <c r="C12">
        <v>49999</v>
      </c>
      <c r="D12" s="18">
        <f t="shared" si="1"/>
        <v>8</v>
      </c>
      <c r="E12" s="18">
        <f t="shared" si="2"/>
        <v>3</v>
      </c>
      <c r="F12" s="18">
        <f t="shared" si="3"/>
        <v>0</v>
      </c>
      <c r="G12">
        <f t="shared" si="4"/>
        <v>11</v>
      </c>
      <c r="H12" s="13">
        <f t="shared" si="5"/>
        <v>0.72727272727272729</v>
      </c>
      <c r="I12" s="13">
        <f t="shared" si="0"/>
        <v>0.27272727272727271</v>
      </c>
      <c r="J12" s="13">
        <f t="shared" si="0"/>
        <v>0</v>
      </c>
    </row>
    <row r="13" spans="1:10" x14ac:dyDescent="0.25">
      <c r="A13" t="s">
        <v>2122</v>
      </c>
      <c r="B13">
        <v>50000</v>
      </c>
      <c r="D13" s="18">
        <f>COUNTIFS(outcomes,"successful",goal,"&gt;="&amp;$B13)</f>
        <v>114</v>
      </c>
      <c r="E13" s="18">
        <f>COUNTIFS(outcomes,"failed",goal,"&gt;="&amp;$B13)</f>
        <v>163</v>
      </c>
      <c r="F13" s="18">
        <f>COUNTIFS(outcomes,"canceled",goal,"&gt;="&amp;$B13)</f>
        <v>28</v>
      </c>
      <c r="G13">
        <f t="shared" si="4"/>
        <v>305</v>
      </c>
      <c r="H13" s="13">
        <f t="shared" si="5"/>
        <v>0.3737704918032787</v>
      </c>
      <c r="I13" s="13">
        <f t="shared" si="0"/>
        <v>0.53442622950819674</v>
      </c>
      <c r="J13" s="13">
        <f t="shared" si="0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F849E-E23C-4BE3-B06D-32904D7FAE0B}">
  <sheetPr codeName="Sheet5"/>
  <dimension ref="A1:J566"/>
  <sheetViews>
    <sheetView workbookViewId="0">
      <selection activeCell="K28" sqref="K28"/>
    </sheetView>
  </sheetViews>
  <sheetFormatPr defaultRowHeight="15.75" x14ac:dyDescent="0.25"/>
  <cols>
    <col min="3" max="3" width="9.375" style="17" bestFit="1" customWidth="1"/>
    <col min="7" max="7" width="9.375" style="17" bestFit="1" customWidth="1"/>
    <col min="9" max="9" width="10.25" bestFit="1" customWidth="1"/>
  </cols>
  <sheetData>
    <row r="1" spans="1:10" x14ac:dyDescent="0.25">
      <c r="A1" t="s">
        <v>2087</v>
      </c>
      <c r="B1" t="s">
        <v>2088</v>
      </c>
      <c r="E1" t="s">
        <v>2087</v>
      </c>
      <c r="F1" t="s">
        <v>2088</v>
      </c>
    </row>
    <row r="2" spans="1:10" ht="17.25" customHeight="1" x14ac:dyDescent="0.25">
      <c r="B2" s="15" t="s">
        <v>2089</v>
      </c>
      <c r="C2" s="17">
        <v>158</v>
      </c>
      <c r="F2" s="16" t="s">
        <v>2090</v>
      </c>
      <c r="G2" s="17">
        <v>0</v>
      </c>
      <c r="I2" s="15" t="s">
        <v>2089</v>
      </c>
    </row>
    <row r="3" spans="1:10" x14ac:dyDescent="0.25">
      <c r="B3" s="15" t="s">
        <v>2089</v>
      </c>
      <c r="C3" s="17">
        <v>1425</v>
      </c>
      <c r="F3" s="16" t="s">
        <v>2090</v>
      </c>
      <c r="G3" s="17">
        <v>24</v>
      </c>
      <c r="I3" t="s">
        <v>2091</v>
      </c>
      <c r="J3">
        <f>AVERAGE(successful)</f>
        <v>851.14690265486729</v>
      </c>
    </row>
    <row r="4" spans="1:10" x14ac:dyDescent="0.25">
      <c r="B4" s="15" t="s">
        <v>2089</v>
      </c>
      <c r="C4" s="17">
        <v>174</v>
      </c>
      <c r="F4" s="16" t="s">
        <v>2090</v>
      </c>
      <c r="G4" s="17">
        <v>53</v>
      </c>
      <c r="I4" t="s">
        <v>2092</v>
      </c>
      <c r="J4">
        <f>MEDIAN(successful)</f>
        <v>201</v>
      </c>
    </row>
    <row r="5" spans="1:10" x14ac:dyDescent="0.25">
      <c r="B5" s="15" t="s">
        <v>2089</v>
      </c>
      <c r="C5" s="17">
        <v>227</v>
      </c>
      <c r="F5" s="16" t="s">
        <v>2090</v>
      </c>
      <c r="G5" s="17">
        <v>18</v>
      </c>
      <c r="I5" t="s">
        <v>2093</v>
      </c>
      <c r="J5">
        <f>MIN(successful)</f>
        <v>16</v>
      </c>
    </row>
    <row r="6" spans="1:10" x14ac:dyDescent="0.25">
      <c r="B6" s="15" t="s">
        <v>2089</v>
      </c>
      <c r="C6" s="17">
        <v>220</v>
      </c>
      <c r="F6" s="16" t="s">
        <v>2090</v>
      </c>
      <c r="G6" s="17">
        <v>44</v>
      </c>
      <c r="I6" t="s">
        <v>2094</v>
      </c>
      <c r="J6">
        <f>MAX(successful)</f>
        <v>7295</v>
      </c>
    </row>
    <row r="7" spans="1:10" x14ac:dyDescent="0.25">
      <c r="B7" s="15" t="s">
        <v>2089</v>
      </c>
      <c r="C7" s="17">
        <v>98</v>
      </c>
      <c r="F7" s="16" t="s">
        <v>2090</v>
      </c>
      <c r="G7" s="17">
        <v>27</v>
      </c>
      <c r="I7" t="s">
        <v>2095</v>
      </c>
      <c r="J7">
        <f>_xlfn.VAR.S(successful)</f>
        <v>1606216.5936295739</v>
      </c>
    </row>
    <row r="8" spans="1:10" x14ac:dyDescent="0.25">
      <c r="B8" s="15" t="s">
        <v>2089</v>
      </c>
      <c r="C8" s="17">
        <v>100</v>
      </c>
      <c r="F8" s="16" t="s">
        <v>2090</v>
      </c>
      <c r="G8" s="17">
        <v>55</v>
      </c>
      <c r="I8" t="s">
        <v>2097</v>
      </c>
      <c r="J8">
        <f>_xlfn.STDEV.S(successful)</f>
        <v>1267.366006183523</v>
      </c>
    </row>
    <row r="9" spans="1:10" x14ac:dyDescent="0.25">
      <c r="B9" s="15" t="s">
        <v>2089</v>
      </c>
      <c r="C9" s="17">
        <v>1249</v>
      </c>
      <c r="F9" s="16" t="s">
        <v>2090</v>
      </c>
      <c r="G9" s="17">
        <v>200</v>
      </c>
      <c r="I9" t="s">
        <v>2098</v>
      </c>
      <c r="J9">
        <f>_xlfn.QUARTILE.INC(successful,1)</f>
        <v>128</v>
      </c>
    </row>
    <row r="10" spans="1:10" x14ac:dyDescent="0.25">
      <c r="B10" s="15" t="s">
        <v>2089</v>
      </c>
      <c r="C10" s="17">
        <v>1396</v>
      </c>
      <c r="F10" s="16" t="s">
        <v>2090</v>
      </c>
      <c r="G10" s="17">
        <v>452</v>
      </c>
      <c r="I10" t="s">
        <v>2099</v>
      </c>
      <c r="J10">
        <f>_xlfn.QUARTILE.INC(successful,3)</f>
        <v>1280</v>
      </c>
    </row>
    <row r="11" spans="1:10" x14ac:dyDescent="0.25">
      <c r="B11" s="15" t="s">
        <v>2089</v>
      </c>
      <c r="C11" s="17">
        <v>890</v>
      </c>
      <c r="F11" s="16" t="s">
        <v>2090</v>
      </c>
      <c r="G11" s="17">
        <v>674</v>
      </c>
      <c r="I11" t="s">
        <v>2100</v>
      </c>
      <c r="J11">
        <f>J10-J9</f>
        <v>1152</v>
      </c>
    </row>
    <row r="12" spans="1:10" x14ac:dyDescent="0.25">
      <c r="B12" s="15" t="s">
        <v>2089</v>
      </c>
      <c r="C12" s="17">
        <v>142</v>
      </c>
      <c r="F12" s="16" t="s">
        <v>2090</v>
      </c>
      <c r="G12" s="17">
        <v>558</v>
      </c>
      <c r="I12" t="s">
        <v>2101</v>
      </c>
      <c r="J12">
        <f>J11*1.5</f>
        <v>1728</v>
      </c>
    </row>
    <row r="13" spans="1:10" x14ac:dyDescent="0.25">
      <c r="B13" s="15" t="s">
        <v>2089</v>
      </c>
      <c r="C13" s="17">
        <v>2673</v>
      </c>
      <c r="F13" s="16" t="s">
        <v>2090</v>
      </c>
      <c r="G13" s="17">
        <v>15</v>
      </c>
      <c r="I13" t="s">
        <v>2102</v>
      </c>
      <c r="J13">
        <v>0</v>
      </c>
    </row>
    <row r="14" spans="1:10" x14ac:dyDescent="0.25">
      <c r="B14" s="15" t="s">
        <v>2089</v>
      </c>
      <c r="C14" s="17">
        <v>163</v>
      </c>
      <c r="F14" s="16" t="s">
        <v>2090</v>
      </c>
      <c r="G14" s="17">
        <v>2307</v>
      </c>
      <c r="I14" t="s">
        <v>2103</v>
      </c>
      <c r="J14">
        <f>J10+J12</f>
        <v>3008</v>
      </c>
    </row>
    <row r="15" spans="1:10" x14ac:dyDescent="0.25">
      <c r="B15" s="15" t="s">
        <v>2089</v>
      </c>
      <c r="C15" s="17">
        <v>2220</v>
      </c>
      <c r="F15" s="16" t="s">
        <v>2090</v>
      </c>
      <c r="G15" s="17">
        <v>88</v>
      </c>
      <c r="I15" s="16" t="s">
        <v>2090</v>
      </c>
    </row>
    <row r="16" spans="1:10" x14ac:dyDescent="0.25">
      <c r="B16" s="15" t="s">
        <v>2089</v>
      </c>
      <c r="C16" s="17">
        <v>1606</v>
      </c>
      <c r="F16" s="16" t="s">
        <v>2090</v>
      </c>
      <c r="G16" s="17">
        <v>48</v>
      </c>
      <c r="I16" t="s">
        <v>2091</v>
      </c>
      <c r="J16">
        <f>AVERAGE(failed)</f>
        <v>585.61538461538464</v>
      </c>
    </row>
    <row r="17" spans="2:10" x14ac:dyDescent="0.25">
      <c r="B17" s="15" t="s">
        <v>2089</v>
      </c>
      <c r="C17" s="17">
        <v>129</v>
      </c>
      <c r="F17" s="16" t="s">
        <v>2090</v>
      </c>
      <c r="G17" s="17">
        <v>1</v>
      </c>
      <c r="I17" t="s">
        <v>2092</v>
      </c>
      <c r="J17">
        <f>MEDIAN(failed)</f>
        <v>114.5</v>
      </c>
    </row>
    <row r="18" spans="2:10" x14ac:dyDescent="0.25">
      <c r="B18" s="15" t="s">
        <v>2089</v>
      </c>
      <c r="C18" s="17">
        <v>226</v>
      </c>
      <c r="F18" s="16" t="s">
        <v>2090</v>
      </c>
      <c r="G18" s="17">
        <v>1467</v>
      </c>
      <c r="I18" t="s">
        <v>2093</v>
      </c>
      <c r="J18">
        <f>MIN(failed)</f>
        <v>0</v>
      </c>
    </row>
    <row r="19" spans="2:10" x14ac:dyDescent="0.25">
      <c r="B19" s="15" t="s">
        <v>2089</v>
      </c>
      <c r="C19" s="17">
        <v>5419</v>
      </c>
      <c r="F19" s="16" t="s">
        <v>2090</v>
      </c>
      <c r="G19" s="17">
        <v>75</v>
      </c>
      <c r="I19" t="s">
        <v>2094</v>
      </c>
      <c r="J19">
        <f>MAX(failed)</f>
        <v>6080</v>
      </c>
    </row>
    <row r="20" spans="2:10" x14ac:dyDescent="0.25">
      <c r="B20" s="15" t="s">
        <v>2089</v>
      </c>
      <c r="C20" s="17">
        <v>165</v>
      </c>
      <c r="F20" s="16" t="s">
        <v>2090</v>
      </c>
      <c r="G20" s="17">
        <v>120</v>
      </c>
      <c r="I20" t="s">
        <v>2096</v>
      </c>
      <c r="J20">
        <f>_xlfn.VAR.S(failed)</f>
        <v>924113.45496927318</v>
      </c>
    </row>
    <row r="21" spans="2:10" x14ac:dyDescent="0.25">
      <c r="B21" s="15" t="s">
        <v>2089</v>
      </c>
      <c r="C21" s="17">
        <v>1965</v>
      </c>
      <c r="F21" s="16" t="s">
        <v>2090</v>
      </c>
      <c r="G21" s="17">
        <v>2253</v>
      </c>
      <c r="I21" t="s">
        <v>2097</v>
      </c>
      <c r="J21">
        <f>_xlfn.STDEV.S(failed)</f>
        <v>961.30819978260524</v>
      </c>
    </row>
    <row r="22" spans="2:10" x14ac:dyDescent="0.25">
      <c r="B22" s="15" t="s">
        <v>2089</v>
      </c>
      <c r="C22" s="17">
        <v>16</v>
      </c>
      <c r="F22" s="16" t="s">
        <v>2090</v>
      </c>
      <c r="G22" s="17">
        <v>5</v>
      </c>
      <c r="I22" t="s">
        <v>2098</v>
      </c>
      <c r="J22">
        <f>_xlfn.QUARTILE.INC(failed,1)</f>
        <v>38</v>
      </c>
    </row>
    <row r="23" spans="2:10" x14ac:dyDescent="0.25">
      <c r="B23" s="15" t="s">
        <v>2089</v>
      </c>
      <c r="C23" s="17">
        <v>107</v>
      </c>
      <c r="F23" s="16" t="s">
        <v>2090</v>
      </c>
      <c r="G23" s="17">
        <v>38</v>
      </c>
      <c r="I23" t="s">
        <v>2099</v>
      </c>
      <c r="J23">
        <f>_xlfn.QUARTILE.INC(failed,3)</f>
        <v>784.5</v>
      </c>
    </row>
    <row r="24" spans="2:10" x14ac:dyDescent="0.25">
      <c r="B24" s="15" t="s">
        <v>2089</v>
      </c>
      <c r="C24" s="17">
        <v>134</v>
      </c>
      <c r="F24" s="16" t="s">
        <v>2090</v>
      </c>
      <c r="G24" s="17">
        <v>12</v>
      </c>
      <c r="I24" t="s">
        <v>2100</v>
      </c>
      <c r="J24">
        <f>J23-J22</f>
        <v>746.5</v>
      </c>
    </row>
    <row r="25" spans="2:10" x14ac:dyDescent="0.25">
      <c r="B25" s="15" t="s">
        <v>2089</v>
      </c>
      <c r="C25" s="17">
        <v>198</v>
      </c>
      <c r="F25" s="16" t="s">
        <v>2090</v>
      </c>
      <c r="G25" s="17">
        <v>1684</v>
      </c>
      <c r="I25" t="s">
        <v>2101</v>
      </c>
      <c r="J25">
        <f>J24*1.5</f>
        <v>1119.75</v>
      </c>
    </row>
    <row r="26" spans="2:10" x14ac:dyDescent="0.25">
      <c r="B26" s="15" t="s">
        <v>2089</v>
      </c>
      <c r="C26" s="17">
        <v>111</v>
      </c>
      <c r="F26" s="16" t="s">
        <v>2090</v>
      </c>
      <c r="G26" s="17">
        <v>56</v>
      </c>
      <c r="I26" t="s">
        <v>2102</v>
      </c>
      <c r="J26">
        <v>0</v>
      </c>
    </row>
    <row r="27" spans="2:10" x14ac:dyDescent="0.25">
      <c r="B27" s="15" t="s">
        <v>2089</v>
      </c>
      <c r="C27" s="17">
        <v>222</v>
      </c>
      <c r="F27" s="16" t="s">
        <v>2090</v>
      </c>
      <c r="G27" s="17">
        <v>838</v>
      </c>
      <c r="I27" t="s">
        <v>2103</v>
      </c>
      <c r="J27">
        <f>J23+J25</f>
        <v>1904.25</v>
      </c>
    </row>
    <row r="28" spans="2:10" x14ac:dyDescent="0.25">
      <c r="B28" s="15" t="s">
        <v>2089</v>
      </c>
      <c r="C28" s="17">
        <v>6212</v>
      </c>
      <c r="F28" s="16" t="s">
        <v>2090</v>
      </c>
      <c r="G28" s="17">
        <v>1000</v>
      </c>
    </row>
    <row r="29" spans="2:10" x14ac:dyDescent="0.25">
      <c r="B29" s="15" t="s">
        <v>2089</v>
      </c>
      <c r="C29" s="17">
        <v>98</v>
      </c>
      <c r="F29" s="16" t="s">
        <v>2090</v>
      </c>
      <c r="G29" s="17">
        <v>1482</v>
      </c>
    </row>
    <row r="30" spans="2:10" x14ac:dyDescent="0.25">
      <c r="B30" s="15" t="s">
        <v>2089</v>
      </c>
      <c r="C30" s="17">
        <v>92</v>
      </c>
      <c r="F30" s="16" t="s">
        <v>2090</v>
      </c>
      <c r="G30" s="17">
        <v>106</v>
      </c>
    </row>
    <row r="31" spans="2:10" x14ac:dyDescent="0.25">
      <c r="B31" s="15" t="s">
        <v>2089</v>
      </c>
      <c r="C31" s="17">
        <v>149</v>
      </c>
      <c r="F31" s="16" t="s">
        <v>2090</v>
      </c>
      <c r="G31" s="17">
        <v>679</v>
      </c>
    </row>
    <row r="32" spans="2:10" x14ac:dyDescent="0.25">
      <c r="B32" s="15" t="s">
        <v>2089</v>
      </c>
      <c r="C32" s="17">
        <v>2431</v>
      </c>
      <c r="F32" s="16" t="s">
        <v>2090</v>
      </c>
      <c r="G32" s="17">
        <v>1220</v>
      </c>
    </row>
    <row r="33" spans="2:7" x14ac:dyDescent="0.25">
      <c r="B33" s="15" t="s">
        <v>2089</v>
      </c>
      <c r="C33" s="17">
        <v>303</v>
      </c>
      <c r="F33" s="16" t="s">
        <v>2090</v>
      </c>
      <c r="G33" s="17">
        <v>1</v>
      </c>
    </row>
    <row r="34" spans="2:7" x14ac:dyDescent="0.25">
      <c r="B34" s="15" t="s">
        <v>2089</v>
      </c>
      <c r="C34" s="17">
        <v>209</v>
      </c>
      <c r="F34" s="16" t="s">
        <v>2090</v>
      </c>
      <c r="G34" s="17">
        <v>37</v>
      </c>
    </row>
    <row r="35" spans="2:7" x14ac:dyDescent="0.25">
      <c r="B35" s="15" t="s">
        <v>2089</v>
      </c>
      <c r="C35" s="17">
        <v>131</v>
      </c>
      <c r="F35" s="16" t="s">
        <v>2090</v>
      </c>
      <c r="G35" s="17">
        <v>60</v>
      </c>
    </row>
    <row r="36" spans="2:7" x14ac:dyDescent="0.25">
      <c r="B36" s="15" t="s">
        <v>2089</v>
      </c>
      <c r="C36" s="17">
        <v>164</v>
      </c>
      <c r="F36" s="16" t="s">
        <v>2090</v>
      </c>
      <c r="G36" s="17">
        <v>296</v>
      </c>
    </row>
    <row r="37" spans="2:7" x14ac:dyDescent="0.25">
      <c r="B37" s="15" t="s">
        <v>2089</v>
      </c>
      <c r="C37" s="17">
        <v>201</v>
      </c>
      <c r="F37" s="16" t="s">
        <v>2090</v>
      </c>
      <c r="G37" s="17">
        <v>3304</v>
      </c>
    </row>
    <row r="38" spans="2:7" x14ac:dyDescent="0.25">
      <c r="B38" s="15" t="s">
        <v>2089</v>
      </c>
      <c r="C38" s="17">
        <v>211</v>
      </c>
      <c r="F38" s="16" t="s">
        <v>2090</v>
      </c>
      <c r="G38" s="17">
        <v>73</v>
      </c>
    </row>
    <row r="39" spans="2:7" x14ac:dyDescent="0.25">
      <c r="B39" s="15" t="s">
        <v>2089</v>
      </c>
      <c r="C39" s="17">
        <v>128</v>
      </c>
      <c r="F39" s="16" t="s">
        <v>2090</v>
      </c>
      <c r="G39" s="17">
        <v>3387</v>
      </c>
    </row>
    <row r="40" spans="2:7" x14ac:dyDescent="0.25">
      <c r="B40" s="15" t="s">
        <v>2089</v>
      </c>
      <c r="C40" s="17">
        <v>1600</v>
      </c>
      <c r="F40" s="16" t="s">
        <v>2090</v>
      </c>
      <c r="G40" s="17">
        <v>662</v>
      </c>
    </row>
    <row r="41" spans="2:7" x14ac:dyDescent="0.25">
      <c r="B41" s="15" t="s">
        <v>2089</v>
      </c>
      <c r="C41" s="17">
        <v>249</v>
      </c>
      <c r="F41" s="16" t="s">
        <v>2090</v>
      </c>
      <c r="G41" s="17">
        <v>774</v>
      </c>
    </row>
    <row r="42" spans="2:7" x14ac:dyDescent="0.25">
      <c r="B42" s="15" t="s">
        <v>2089</v>
      </c>
      <c r="C42" s="17">
        <v>236</v>
      </c>
      <c r="F42" s="16" t="s">
        <v>2090</v>
      </c>
      <c r="G42" s="17">
        <v>672</v>
      </c>
    </row>
    <row r="43" spans="2:7" x14ac:dyDescent="0.25">
      <c r="B43" s="15" t="s">
        <v>2089</v>
      </c>
      <c r="C43" s="17">
        <v>4065</v>
      </c>
      <c r="F43" s="16" t="s">
        <v>2090</v>
      </c>
      <c r="G43" s="17">
        <v>940</v>
      </c>
    </row>
    <row r="44" spans="2:7" x14ac:dyDescent="0.25">
      <c r="B44" s="15" t="s">
        <v>2089</v>
      </c>
      <c r="C44" s="17">
        <v>246</v>
      </c>
      <c r="F44" s="16" t="s">
        <v>2090</v>
      </c>
      <c r="G44" s="17">
        <v>117</v>
      </c>
    </row>
    <row r="45" spans="2:7" x14ac:dyDescent="0.25">
      <c r="B45" s="15" t="s">
        <v>2089</v>
      </c>
      <c r="C45" s="17">
        <v>2475</v>
      </c>
      <c r="F45" s="16" t="s">
        <v>2090</v>
      </c>
      <c r="G45" s="17">
        <v>115</v>
      </c>
    </row>
    <row r="46" spans="2:7" x14ac:dyDescent="0.25">
      <c r="B46" s="15" t="s">
        <v>2089</v>
      </c>
      <c r="C46" s="17">
        <v>76</v>
      </c>
      <c r="F46" s="16" t="s">
        <v>2090</v>
      </c>
      <c r="G46" s="17">
        <v>326</v>
      </c>
    </row>
    <row r="47" spans="2:7" x14ac:dyDescent="0.25">
      <c r="B47" s="15" t="s">
        <v>2089</v>
      </c>
      <c r="C47" s="17">
        <v>54</v>
      </c>
      <c r="F47" s="16" t="s">
        <v>2090</v>
      </c>
      <c r="G47" s="17">
        <v>1</v>
      </c>
    </row>
    <row r="48" spans="2:7" x14ac:dyDescent="0.25">
      <c r="B48" s="15" t="s">
        <v>2089</v>
      </c>
      <c r="C48" s="17">
        <v>88</v>
      </c>
      <c r="F48" s="16" t="s">
        <v>2090</v>
      </c>
      <c r="G48" s="17">
        <v>1467</v>
      </c>
    </row>
    <row r="49" spans="2:7" x14ac:dyDescent="0.25">
      <c r="B49" s="15" t="s">
        <v>2089</v>
      </c>
      <c r="C49" s="17">
        <v>85</v>
      </c>
      <c r="F49" s="16" t="s">
        <v>2090</v>
      </c>
      <c r="G49" s="17">
        <v>5681</v>
      </c>
    </row>
    <row r="50" spans="2:7" x14ac:dyDescent="0.25">
      <c r="B50" s="15" t="s">
        <v>2089</v>
      </c>
      <c r="C50" s="17">
        <v>170</v>
      </c>
      <c r="F50" s="16" t="s">
        <v>2090</v>
      </c>
      <c r="G50" s="17">
        <v>1059</v>
      </c>
    </row>
    <row r="51" spans="2:7" x14ac:dyDescent="0.25">
      <c r="B51" s="15" t="s">
        <v>2089</v>
      </c>
      <c r="C51" s="17">
        <v>330</v>
      </c>
      <c r="F51" s="16" t="s">
        <v>2090</v>
      </c>
      <c r="G51" s="17">
        <v>1194</v>
      </c>
    </row>
    <row r="52" spans="2:7" x14ac:dyDescent="0.25">
      <c r="B52" s="15" t="s">
        <v>2089</v>
      </c>
      <c r="C52" s="17">
        <v>127</v>
      </c>
      <c r="F52" s="16" t="s">
        <v>2090</v>
      </c>
      <c r="G52" s="17">
        <v>30</v>
      </c>
    </row>
    <row r="53" spans="2:7" x14ac:dyDescent="0.25">
      <c r="B53" s="15" t="s">
        <v>2089</v>
      </c>
      <c r="C53" s="17">
        <v>411</v>
      </c>
      <c r="F53" s="16" t="s">
        <v>2090</v>
      </c>
      <c r="G53" s="17">
        <v>75</v>
      </c>
    </row>
    <row r="54" spans="2:7" x14ac:dyDescent="0.25">
      <c r="B54" s="15" t="s">
        <v>2089</v>
      </c>
      <c r="C54" s="17">
        <v>180</v>
      </c>
      <c r="F54" s="16" t="s">
        <v>2090</v>
      </c>
      <c r="G54" s="17">
        <v>955</v>
      </c>
    </row>
    <row r="55" spans="2:7" x14ac:dyDescent="0.25">
      <c r="B55" s="15" t="s">
        <v>2089</v>
      </c>
      <c r="C55" s="17">
        <v>374</v>
      </c>
      <c r="F55" s="16" t="s">
        <v>2090</v>
      </c>
      <c r="G55" s="17">
        <v>67</v>
      </c>
    </row>
    <row r="56" spans="2:7" x14ac:dyDescent="0.25">
      <c r="B56" s="15" t="s">
        <v>2089</v>
      </c>
      <c r="C56" s="17">
        <v>71</v>
      </c>
      <c r="F56" s="16" t="s">
        <v>2090</v>
      </c>
      <c r="G56" s="17">
        <v>5</v>
      </c>
    </row>
    <row r="57" spans="2:7" x14ac:dyDescent="0.25">
      <c r="B57" s="15" t="s">
        <v>2089</v>
      </c>
      <c r="C57" s="17">
        <v>203</v>
      </c>
      <c r="F57" s="16" t="s">
        <v>2090</v>
      </c>
      <c r="G57" s="17">
        <v>26</v>
      </c>
    </row>
    <row r="58" spans="2:7" x14ac:dyDescent="0.25">
      <c r="B58" s="15" t="s">
        <v>2089</v>
      </c>
      <c r="C58" s="17">
        <v>113</v>
      </c>
      <c r="F58" s="16" t="s">
        <v>2090</v>
      </c>
      <c r="G58" s="17">
        <v>1130</v>
      </c>
    </row>
    <row r="59" spans="2:7" x14ac:dyDescent="0.25">
      <c r="B59" s="15" t="s">
        <v>2089</v>
      </c>
      <c r="C59" s="17">
        <v>96</v>
      </c>
      <c r="F59" s="16" t="s">
        <v>2090</v>
      </c>
      <c r="G59" s="17">
        <v>782</v>
      </c>
    </row>
    <row r="60" spans="2:7" x14ac:dyDescent="0.25">
      <c r="B60" s="15" t="s">
        <v>2089</v>
      </c>
      <c r="C60" s="17">
        <v>498</v>
      </c>
      <c r="F60" s="16" t="s">
        <v>2090</v>
      </c>
      <c r="G60" s="17">
        <v>210</v>
      </c>
    </row>
    <row r="61" spans="2:7" x14ac:dyDescent="0.25">
      <c r="B61" s="15" t="s">
        <v>2089</v>
      </c>
      <c r="C61" s="17">
        <v>180</v>
      </c>
      <c r="F61" s="16" t="s">
        <v>2090</v>
      </c>
      <c r="G61" s="17">
        <v>136</v>
      </c>
    </row>
    <row r="62" spans="2:7" x14ac:dyDescent="0.25">
      <c r="B62" s="15" t="s">
        <v>2089</v>
      </c>
      <c r="C62" s="17">
        <v>27</v>
      </c>
      <c r="F62" s="16" t="s">
        <v>2090</v>
      </c>
      <c r="G62" s="17">
        <v>86</v>
      </c>
    </row>
    <row r="63" spans="2:7" x14ac:dyDescent="0.25">
      <c r="B63" s="15" t="s">
        <v>2089</v>
      </c>
      <c r="C63" s="17">
        <v>2331</v>
      </c>
      <c r="F63" s="16" t="s">
        <v>2090</v>
      </c>
      <c r="G63" s="17">
        <v>19</v>
      </c>
    </row>
    <row r="64" spans="2:7" x14ac:dyDescent="0.25">
      <c r="B64" s="15" t="s">
        <v>2089</v>
      </c>
      <c r="C64" s="17">
        <v>113</v>
      </c>
      <c r="F64" s="16" t="s">
        <v>2090</v>
      </c>
      <c r="G64" s="17">
        <v>886</v>
      </c>
    </row>
    <row r="65" spans="2:7" x14ac:dyDescent="0.25">
      <c r="B65" s="15" t="s">
        <v>2089</v>
      </c>
      <c r="C65" s="17">
        <v>164</v>
      </c>
      <c r="F65" s="16" t="s">
        <v>2090</v>
      </c>
      <c r="G65" s="17">
        <v>35</v>
      </c>
    </row>
    <row r="66" spans="2:7" x14ac:dyDescent="0.25">
      <c r="B66" s="15" t="s">
        <v>2089</v>
      </c>
      <c r="C66" s="17">
        <v>164</v>
      </c>
      <c r="F66" s="16" t="s">
        <v>2090</v>
      </c>
      <c r="G66" s="17">
        <v>24</v>
      </c>
    </row>
    <row r="67" spans="2:7" x14ac:dyDescent="0.25">
      <c r="B67" s="15" t="s">
        <v>2089</v>
      </c>
      <c r="C67" s="17">
        <v>336</v>
      </c>
      <c r="F67" s="16" t="s">
        <v>2090</v>
      </c>
      <c r="G67" s="17">
        <v>86</v>
      </c>
    </row>
    <row r="68" spans="2:7" x14ac:dyDescent="0.25">
      <c r="B68" s="15" t="s">
        <v>2089</v>
      </c>
      <c r="C68" s="17">
        <v>1917</v>
      </c>
      <c r="F68" s="16" t="s">
        <v>2090</v>
      </c>
      <c r="G68" s="17">
        <v>243</v>
      </c>
    </row>
    <row r="69" spans="2:7" x14ac:dyDescent="0.25">
      <c r="B69" s="15" t="s">
        <v>2089</v>
      </c>
      <c r="C69" s="17">
        <v>95</v>
      </c>
      <c r="F69" s="16" t="s">
        <v>2090</v>
      </c>
      <c r="G69" s="17">
        <v>65</v>
      </c>
    </row>
    <row r="70" spans="2:7" x14ac:dyDescent="0.25">
      <c r="B70" s="15" t="s">
        <v>2089</v>
      </c>
      <c r="C70" s="17">
        <v>147</v>
      </c>
      <c r="F70" s="16" t="s">
        <v>2090</v>
      </c>
      <c r="G70" s="17">
        <v>100</v>
      </c>
    </row>
    <row r="71" spans="2:7" x14ac:dyDescent="0.25">
      <c r="B71" s="15" t="s">
        <v>2089</v>
      </c>
      <c r="C71" s="17">
        <v>86</v>
      </c>
      <c r="F71" s="16" t="s">
        <v>2090</v>
      </c>
      <c r="G71" s="17">
        <v>168</v>
      </c>
    </row>
    <row r="72" spans="2:7" x14ac:dyDescent="0.25">
      <c r="B72" s="15" t="s">
        <v>2089</v>
      </c>
      <c r="C72" s="17">
        <v>83</v>
      </c>
      <c r="F72" s="16" t="s">
        <v>2090</v>
      </c>
      <c r="G72" s="17">
        <v>13</v>
      </c>
    </row>
    <row r="73" spans="2:7" x14ac:dyDescent="0.25">
      <c r="B73" s="15" t="s">
        <v>2089</v>
      </c>
      <c r="C73" s="17">
        <v>676</v>
      </c>
      <c r="F73" s="16" t="s">
        <v>2090</v>
      </c>
      <c r="G73" s="17">
        <v>1</v>
      </c>
    </row>
    <row r="74" spans="2:7" x14ac:dyDescent="0.25">
      <c r="B74" s="15" t="s">
        <v>2089</v>
      </c>
      <c r="C74" s="17">
        <v>361</v>
      </c>
      <c r="F74" s="16" t="s">
        <v>2090</v>
      </c>
      <c r="G74" s="17">
        <v>40</v>
      </c>
    </row>
    <row r="75" spans="2:7" x14ac:dyDescent="0.25">
      <c r="B75" s="15" t="s">
        <v>2089</v>
      </c>
      <c r="C75" s="17">
        <v>131</v>
      </c>
      <c r="F75" s="16" t="s">
        <v>2090</v>
      </c>
      <c r="G75" s="17">
        <v>226</v>
      </c>
    </row>
    <row r="76" spans="2:7" x14ac:dyDescent="0.25">
      <c r="B76" s="15" t="s">
        <v>2089</v>
      </c>
      <c r="C76" s="17">
        <v>126</v>
      </c>
      <c r="F76" s="16" t="s">
        <v>2090</v>
      </c>
      <c r="G76" s="17">
        <v>1625</v>
      </c>
    </row>
    <row r="77" spans="2:7" x14ac:dyDescent="0.25">
      <c r="B77" s="15" t="s">
        <v>2089</v>
      </c>
      <c r="C77" s="17">
        <v>275</v>
      </c>
      <c r="F77" s="16" t="s">
        <v>2090</v>
      </c>
      <c r="G77" s="17">
        <v>143</v>
      </c>
    </row>
    <row r="78" spans="2:7" x14ac:dyDescent="0.25">
      <c r="B78" s="15" t="s">
        <v>2089</v>
      </c>
      <c r="C78" s="17">
        <v>67</v>
      </c>
      <c r="F78" s="16" t="s">
        <v>2090</v>
      </c>
      <c r="G78" s="17">
        <v>934</v>
      </c>
    </row>
    <row r="79" spans="2:7" x14ac:dyDescent="0.25">
      <c r="B79" s="15" t="s">
        <v>2089</v>
      </c>
      <c r="C79" s="17">
        <v>154</v>
      </c>
      <c r="F79" s="16" t="s">
        <v>2090</v>
      </c>
      <c r="G79" s="17">
        <v>17</v>
      </c>
    </row>
    <row r="80" spans="2:7" x14ac:dyDescent="0.25">
      <c r="B80" s="15" t="s">
        <v>2089</v>
      </c>
      <c r="C80" s="17">
        <v>1782</v>
      </c>
      <c r="F80" s="16" t="s">
        <v>2090</v>
      </c>
      <c r="G80" s="17">
        <v>2179</v>
      </c>
    </row>
    <row r="81" spans="2:7" x14ac:dyDescent="0.25">
      <c r="B81" s="15" t="s">
        <v>2089</v>
      </c>
      <c r="C81" s="17">
        <v>903</v>
      </c>
      <c r="F81" s="16" t="s">
        <v>2090</v>
      </c>
      <c r="G81" s="17">
        <v>931</v>
      </c>
    </row>
    <row r="82" spans="2:7" x14ac:dyDescent="0.25">
      <c r="B82" s="15" t="s">
        <v>2089</v>
      </c>
      <c r="C82" s="17">
        <v>94</v>
      </c>
      <c r="F82" s="16" t="s">
        <v>2090</v>
      </c>
      <c r="G82" s="17">
        <v>92</v>
      </c>
    </row>
    <row r="83" spans="2:7" x14ac:dyDescent="0.25">
      <c r="B83" s="15" t="s">
        <v>2089</v>
      </c>
      <c r="C83" s="17">
        <v>180</v>
      </c>
      <c r="F83" s="16" t="s">
        <v>2090</v>
      </c>
      <c r="G83" s="17">
        <v>57</v>
      </c>
    </row>
    <row r="84" spans="2:7" x14ac:dyDescent="0.25">
      <c r="B84" s="15" t="s">
        <v>2089</v>
      </c>
      <c r="C84" s="17">
        <v>533</v>
      </c>
      <c r="F84" s="16" t="s">
        <v>2090</v>
      </c>
      <c r="G84" s="17">
        <v>41</v>
      </c>
    </row>
    <row r="85" spans="2:7" x14ac:dyDescent="0.25">
      <c r="B85" s="15" t="s">
        <v>2089</v>
      </c>
      <c r="C85" s="17">
        <v>2443</v>
      </c>
      <c r="F85" s="16" t="s">
        <v>2090</v>
      </c>
      <c r="G85" s="17">
        <v>1</v>
      </c>
    </row>
    <row r="86" spans="2:7" x14ac:dyDescent="0.25">
      <c r="B86" s="15" t="s">
        <v>2089</v>
      </c>
      <c r="C86" s="17">
        <v>89</v>
      </c>
      <c r="F86" s="16" t="s">
        <v>2090</v>
      </c>
      <c r="G86" s="17">
        <v>101</v>
      </c>
    </row>
    <row r="87" spans="2:7" x14ac:dyDescent="0.25">
      <c r="B87" s="15" t="s">
        <v>2089</v>
      </c>
      <c r="C87" s="17">
        <v>159</v>
      </c>
      <c r="F87" s="16" t="s">
        <v>2090</v>
      </c>
      <c r="G87" s="17">
        <v>1335</v>
      </c>
    </row>
    <row r="88" spans="2:7" x14ac:dyDescent="0.25">
      <c r="B88" s="15" t="s">
        <v>2089</v>
      </c>
      <c r="C88" s="17">
        <v>50</v>
      </c>
      <c r="F88" s="16" t="s">
        <v>2090</v>
      </c>
      <c r="G88" s="17">
        <v>15</v>
      </c>
    </row>
    <row r="89" spans="2:7" x14ac:dyDescent="0.25">
      <c r="B89" s="15" t="s">
        <v>2089</v>
      </c>
      <c r="C89" s="17">
        <v>186</v>
      </c>
      <c r="F89" s="16" t="s">
        <v>2090</v>
      </c>
      <c r="G89" s="17">
        <v>454</v>
      </c>
    </row>
    <row r="90" spans="2:7" x14ac:dyDescent="0.25">
      <c r="B90" s="15" t="s">
        <v>2089</v>
      </c>
      <c r="C90" s="17">
        <v>1071</v>
      </c>
      <c r="F90" s="16" t="s">
        <v>2090</v>
      </c>
      <c r="G90" s="17">
        <v>3182</v>
      </c>
    </row>
    <row r="91" spans="2:7" x14ac:dyDescent="0.25">
      <c r="B91" s="15" t="s">
        <v>2089</v>
      </c>
      <c r="C91" s="17">
        <v>117</v>
      </c>
      <c r="F91" s="16" t="s">
        <v>2090</v>
      </c>
      <c r="G91" s="17">
        <v>15</v>
      </c>
    </row>
    <row r="92" spans="2:7" x14ac:dyDescent="0.25">
      <c r="B92" s="15" t="s">
        <v>2089</v>
      </c>
      <c r="C92" s="17">
        <v>70</v>
      </c>
      <c r="F92" s="16" t="s">
        <v>2090</v>
      </c>
      <c r="G92" s="17">
        <v>133</v>
      </c>
    </row>
    <row r="93" spans="2:7" x14ac:dyDescent="0.25">
      <c r="B93" s="15" t="s">
        <v>2089</v>
      </c>
      <c r="C93" s="17">
        <v>135</v>
      </c>
      <c r="F93" s="16" t="s">
        <v>2090</v>
      </c>
      <c r="G93" s="17">
        <v>2062</v>
      </c>
    </row>
    <row r="94" spans="2:7" x14ac:dyDescent="0.25">
      <c r="B94" s="15" t="s">
        <v>2089</v>
      </c>
      <c r="C94" s="17">
        <v>768</v>
      </c>
      <c r="F94" s="16" t="s">
        <v>2090</v>
      </c>
      <c r="G94" s="17">
        <v>29</v>
      </c>
    </row>
    <row r="95" spans="2:7" x14ac:dyDescent="0.25">
      <c r="B95" s="15" t="s">
        <v>2089</v>
      </c>
      <c r="C95" s="17">
        <v>199</v>
      </c>
      <c r="F95" s="16" t="s">
        <v>2090</v>
      </c>
      <c r="G95" s="17">
        <v>132</v>
      </c>
    </row>
    <row r="96" spans="2:7" x14ac:dyDescent="0.25">
      <c r="B96" s="15" t="s">
        <v>2089</v>
      </c>
      <c r="C96" s="17">
        <v>107</v>
      </c>
      <c r="F96" s="16" t="s">
        <v>2090</v>
      </c>
      <c r="G96" s="17">
        <v>137</v>
      </c>
    </row>
    <row r="97" spans="2:7" x14ac:dyDescent="0.25">
      <c r="B97" s="15" t="s">
        <v>2089</v>
      </c>
      <c r="C97" s="17">
        <v>195</v>
      </c>
      <c r="F97" s="16" t="s">
        <v>2090</v>
      </c>
      <c r="G97" s="17">
        <v>908</v>
      </c>
    </row>
    <row r="98" spans="2:7" x14ac:dyDescent="0.25">
      <c r="B98" s="15" t="s">
        <v>2089</v>
      </c>
      <c r="C98" s="17">
        <v>3376</v>
      </c>
      <c r="F98" s="16" t="s">
        <v>2090</v>
      </c>
      <c r="G98" s="17">
        <v>10</v>
      </c>
    </row>
    <row r="99" spans="2:7" x14ac:dyDescent="0.25">
      <c r="B99" s="15" t="s">
        <v>2089</v>
      </c>
      <c r="C99" s="17">
        <v>41</v>
      </c>
      <c r="F99" s="16" t="s">
        <v>2090</v>
      </c>
      <c r="G99" s="17">
        <v>1910</v>
      </c>
    </row>
    <row r="100" spans="2:7" x14ac:dyDescent="0.25">
      <c r="B100" s="15" t="s">
        <v>2089</v>
      </c>
      <c r="C100" s="17">
        <v>1821</v>
      </c>
      <c r="F100" s="16" t="s">
        <v>2090</v>
      </c>
      <c r="G100" s="17">
        <v>38</v>
      </c>
    </row>
    <row r="101" spans="2:7" x14ac:dyDescent="0.25">
      <c r="B101" s="15" t="s">
        <v>2089</v>
      </c>
      <c r="C101" s="17">
        <v>164</v>
      </c>
      <c r="F101" s="16" t="s">
        <v>2090</v>
      </c>
      <c r="G101" s="17">
        <v>104</v>
      </c>
    </row>
    <row r="102" spans="2:7" x14ac:dyDescent="0.25">
      <c r="B102" s="15" t="s">
        <v>2089</v>
      </c>
      <c r="C102" s="17">
        <v>157</v>
      </c>
      <c r="F102" s="16" t="s">
        <v>2090</v>
      </c>
      <c r="G102" s="17">
        <v>49</v>
      </c>
    </row>
    <row r="103" spans="2:7" x14ac:dyDescent="0.25">
      <c r="B103" s="15" t="s">
        <v>2089</v>
      </c>
      <c r="C103" s="17">
        <v>246</v>
      </c>
      <c r="F103" s="16" t="s">
        <v>2090</v>
      </c>
      <c r="G103" s="17">
        <v>1</v>
      </c>
    </row>
    <row r="104" spans="2:7" x14ac:dyDescent="0.25">
      <c r="B104" s="15" t="s">
        <v>2089</v>
      </c>
      <c r="C104" s="17">
        <v>1396</v>
      </c>
      <c r="F104" s="16" t="s">
        <v>2090</v>
      </c>
      <c r="G104" s="17">
        <v>245</v>
      </c>
    </row>
    <row r="105" spans="2:7" x14ac:dyDescent="0.25">
      <c r="B105" s="15" t="s">
        <v>2089</v>
      </c>
      <c r="C105" s="17">
        <v>2506</v>
      </c>
      <c r="F105" s="16" t="s">
        <v>2090</v>
      </c>
      <c r="G105" s="17">
        <v>32</v>
      </c>
    </row>
    <row r="106" spans="2:7" x14ac:dyDescent="0.25">
      <c r="B106" s="15" t="s">
        <v>2089</v>
      </c>
      <c r="C106" s="17">
        <v>244</v>
      </c>
      <c r="F106" s="16" t="s">
        <v>2090</v>
      </c>
      <c r="G106" s="17">
        <v>7</v>
      </c>
    </row>
    <row r="107" spans="2:7" x14ac:dyDescent="0.25">
      <c r="B107" s="15" t="s">
        <v>2089</v>
      </c>
      <c r="C107" s="17">
        <v>146</v>
      </c>
      <c r="F107" s="16" t="s">
        <v>2090</v>
      </c>
      <c r="G107" s="17">
        <v>803</v>
      </c>
    </row>
    <row r="108" spans="2:7" x14ac:dyDescent="0.25">
      <c r="B108" s="15" t="s">
        <v>2089</v>
      </c>
      <c r="C108" s="17">
        <v>1267</v>
      </c>
      <c r="F108" s="16" t="s">
        <v>2090</v>
      </c>
      <c r="G108" s="17">
        <v>16</v>
      </c>
    </row>
    <row r="109" spans="2:7" x14ac:dyDescent="0.25">
      <c r="B109" s="15" t="s">
        <v>2089</v>
      </c>
      <c r="C109" s="17">
        <v>1561</v>
      </c>
      <c r="F109" s="16" t="s">
        <v>2090</v>
      </c>
      <c r="G109" s="17">
        <v>31</v>
      </c>
    </row>
    <row r="110" spans="2:7" x14ac:dyDescent="0.25">
      <c r="B110" s="15" t="s">
        <v>2089</v>
      </c>
      <c r="C110" s="17">
        <v>48</v>
      </c>
      <c r="F110" s="16" t="s">
        <v>2090</v>
      </c>
      <c r="G110" s="17">
        <v>108</v>
      </c>
    </row>
    <row r="111" spans="2:7" x14ac:dyDescent="0.25">
      <c r="B111" s="15" t="s">
        <v>2089</v>
      </c>
      <c r="C111" s="17">
        <v>2739</v>
      </c>
      <c r="F111" s="16" t="s">
        <v>2090</v>
      </c>
      <c r="G111" s="17">
        <v>30</v>
      </c>
    </row>
    <row r="112" spans="2:7" x14ac:dyDescent="0.25">
      <c r="B112" s="15" t="s">
        <v>2089</v>
      </c>
      <c r="C112" s="17">
        <v>3537</v>
      </c>
      <c r="F112" s="16" t="s">
        <v>2090</v>
      </c>
      <c r="G112" s="17">
        <v>17</v>
      </c>
    </row>
    <row r="113" spans="2:7" x14ac:dyDescent="0.25">
      <c r="B113" s="15" t="s">
        <v>2089</v>
      </c>
      <c r="C113" s="17">
        <v>2107</v>
      </c>
      <c r="F113" s="16" t="s">
        <v>2090</v>
      </c>
      <c r="G113" s="17">
        <v>80</v>
      </c>
    </row>
    <row r="114" spans="2:7" x14ac:dyDescent="0.25">
      <c r="B114" s="15" t="s">
        <v>2089</v>
      </c>
      <c r="C114" s="17">
        <v>3318</v>
      </c>
      <c r="F114" s="16" t="s">
        <v>2090</v>
      </c>
      <c r="G114" s="17">
        <v>2468</v>
      </c>
    </row>
    <row r="115" spans="2:7" x14ac:dyDescent="0.25">
      <c r="B115" s="15" t="s">
        <v>2089</v>
      </c>
      <c r="C115" s="17">
        <v>340</v>
      </c>
      <c r="F115" s="16" t="s">
        <v>2090</v>
      </c>
      <c r="G115" s="17">
        <v>26</v>
      </c>
    </row>
    <row r="116" spans="2:7" x14ac:dyDescent="0.25">
      <c r="B116" s="15" t="s">
        <v>2089</v>
      </c>
      <c r="C116" s="17">
        <v>1442</v>
      </c>
      <c r="F116" s="16" t="s">
        <v>2090</v>
      </c>
      <c r="G116" s="17">
        <v>73</v>
      </c>
    </row>
    <row r="117" spans="2:7" x14ac:dyDescent="0.25">
      <c r="B117" s="15" t="s">
        <v>2089</v>
      </c>
      <c r="C117" s="17">
        <v>126</v>
      </c>
      <c r="F117" s="16" t="s">
        <v>2090</v>
      </c>
      <c r="G117" s="17">
        <v>128</v>
      </c>
    </row>
    <row r="118" spans="2:7" x14ac:dyDescent="0.25">
      <c r="B118" s="15" t="s">
        <v>2089</v>
      </c>
      <c r="C118" s="17">
        <v>524</v>
      </c>
      <c r="F118" s="16" t="s">
        <v>2090</v>
      </c>
      <c r="G118" s="17">
        <v>33</v>
      </c>
    </row>
    <row r="119" spans="2:7" x14ac:dyDescent="0.25">
      <c r="B119" s="15" t="s">
        <v>2089</v>
      </c>
      <c r="C119" s="17">
        <v>1989</v>
      </c>
      <c r="F119" s="16" t="s">
        <v>2090</v>
      </c>
      <c r="G119" s="17">
        <v>1072</v>
      </c>
    </row>
    <row r="120" spans="2:7" x14ac:dyDescent="0.25">
      <c r="B120" s="15" t="s">
        <v>2089</v>
      </c>
      <c r="C120" s="17">
        <v>157</v>
      </c>
      <c r="F120" s="16" t="s">
        <v>2090</v>
      </c>
      <c r="G120" s="17">
        <v>393</v>
      </c>
    </row>
    <row r="121" spans="2:7" x14ac:dyDescent="0.25">
      <c r="B121" s="15" t="s">
        <v>2089</v>
      </c>
      <c r="C121" s="17">
        <v>4498</v>
      </c>
      <c r="F121" s="16" t="s">
        <v>2090</v>
      </c>
      <c r="G121" s="17">
        <v>1257</v>
      </c>
    </row>
    <row r="122" spans="2:7" x14ac:dyDescent="0.25">
      <c r="B122" s="15" t="s">
        <v>2089</v>
      </c>
      <c r="C122" s="17">
        <v>80</v>
      </c>
      <c r="F122" s="16" t="s">
        <v>2090</v>
      </c>
      <c r="G122" s="17">
        <v>328</v>
      </c>
    </row>
    <row r="123" spans="2:7" x14ac:dyDescent="0.25">
      <c r="B123" s="15" t="s">
        <v>2089</v>
      </c>
      <c r="C123" s="17">
        <v>43</v>
      </c>
      <c r="F123" s="16" t="s">
        <v>2090</v>
      </c>
      <c r="G123" s="17">
        <v>147</v>
      </c>
    </row>
    <row r="124" spans="2:7" x14ac:dyDescent="0.25">
      <c r="B124" s="15" t="s">
        <v>2089</v>
      </c>
      <c r="C124" s="17">
        <v>2053</v>
      </c>
      <c r="F124" s="16" t="s">
        <v>2090</v>
      </c>
      <c r="G124" s="17">
        <v>830</v>
      </c>
    </row>
    <row r="125" spans="2:7" x14ac:dyDescent="0.25">
      <c r="B125" s="15" t="s">
        <v>2089</v>
      </c>
      <c r="C125" s="17">
        <v>168</v>
      </c>
      <c r="F125" s="16" t="s">
        <v>2090</v>
      </c>
      <c r="G125" s="17">
        <v>331</v>
      </c>
    </row>
    <row r="126" spans="2:7" x14ac:dyDescent="0.25">
      <c r="B126" s="15" t="s">
        <v>2089</v>
      </c>
      <c r="C126" s="17">
        <v>4289</v>
      </c>
      <c r="F126" s="16" t="s">
        <v>2090</v>
      </c>
      <c r="G126" s="17">
        <v>25</v>
      </c>
    </row>
    <row r="127" spans="2:7" x14ac:dyDescent="0.25">
      <c r="B127" s="15" t="s">
        <v>2089</v>
      </c>
      <c r="C127" s="17">
        <v>165</v>
      </c>
      <c r="F127" s="16" t="s">
        <v>2090</v>
      </c>
      <c r="G127" s="17">
        <v>3483</v>
      </c>
    </row>
    <row r="128" spans="2:7" x14ac:dyDescent="0.25">
      <c r="B128" s="15" t="s">
        <v>2089</v>
      </c>
      <c r="C128" s="17">
        <v>1815</v>
      </c>
      <c r="F128" s="16" t="s">
        <v>2090</v>
      </c>
      <c r="G128" s="17">
        <v>923</v>
      </c>
    </row>
    <row r="129" spans="2:7" x14ac:dyDescent="0.25">
      <c r="B129" s="15" t="s">
        <v>2089</v>
      </c>
      <c r="C129" s="17">
        <v>397</v>
      </c>
      <c r="F129" s="16" t="s">
        <v>2090</v>
      </c>
      <c r="G129" s="17">
        <v>1</v>
      </c>
    </row>
    <row r="130" spans="2:7" x14ac:dyDescent="0.25">
      <c r="B130" s="15" t="s">
        <v>2089</v>
      </c>
      <c r="C130" s="17">
        <v>1539</v>
      </c>
      <c r="F130" s="16" t="s">
        <v>2090</v>
      </c>
      <c r="G130" s="17">
        <v>33</v>
      </c>
    </row>
    <row r="131" spans="2:7" x14ac:dyDescent="0.25">
      <c r="B131" s="15" t="s">
        <v>2089</v>
      </c>
      <c r="C131" s="17">
        <v>138</v>
      </c>
      <c r="F131" s="16" t="s">
        <v>2090</v>
      </c>
      <c r="G131" s="17">
        <v>40</v>
      </c>
    </row>
    <row r="132" spans="2:7" x14ac:dyDescent="0.25">
      <c r="B132" s="15" t="s">
        <v>2089</v>
      </c>
      <c r="C132" s="17">
        <v>3594</v>
      </c>
      <c r="F132" s="16" t="s">
        <v>2090</v>
      </c>
      <c r="G132" s="17">
        <v>23</v>
      </c>
    </row>
    <row r="133" spans="2:7" x14ac:dyDescent="0.25">
      <c r="B133" s="15" t="s">
        <v>2089</v>
      </c>
      <c r="C133" s="17">
        <v>5880</v>
      </c>
      <c r="F133" s="16" t="s">
        <v>2090</v>
      </c>
      <c r="G133" s="17">
        <v>75</v>
      </c>
    </row>
    <row r="134" spans="2:7" x14ac:dyDescent="0.25">
      <c r="B134" s="15" t="s">
        <v>2089</v>
      </c>
      <c r="C134" s="17">
        <v>112</v>
      </c>
      <c r="F134" s="16" t="s">
        <v>2090</v>
      </c>
      <c r="G134" s="17">
        <v>2176</v>
      </c>
    </row>
    <row r="135" spans="2:7" x14ac:dyDescent="0.25">
      <c r="B135" s="15" t="s">
        <v>2089</v>
      </c>
      <c r="C135" s="17">
        <v>943</v>
      </c>
      <c r="F135" s="16" t="s">
        <v>2090</v>
      </c>
      <c r="G135" s="17">
        <v>441</v>
      </c>
    </row>
    <row r="136" spans="2:7" x14ac:dyDescent="0.25">
      <c r="B136" s="15" t="s">
        <v>2089</v>
      </c>
      <c r="C136" s="17">
        <v>2468</v>
      </c>
      <c r="F136" s="16" t="s">
        <v>2090</v>
      </c>
      <c r="G136" s="17">
        <v>25</v>
      </c>
    </row>
    <row r="137" spans="2:7" x14ac:dyDescent="0.25">
      <c r="B137" s="15" t="s">
        <v>2089</v>
      </c>
      <c r="C137" s="17">
        <v>2551</v>
      </c>
      <c r="F137" s="16" t="s">
        <v>2090</v>
      </c>
      <c r="G137" s="17">
        <v>127</v>
      </c>
    </row>
    <row r="138" spans="2:7" x14ac:dyDescent="0.25">
      <c r="B138" s="15" t="s">
        <v>2089</v>
      </c>
      <c r="C138" s="17">
        <v>101</v>
      </c>
      <c r="F138" s="16" t="s">
        <v>2090</v>
      </c>
      <c r="G138" s="17">
        <v>355</v>
      </c>
    </row>
    <row r="139" spans="2:7" x14ac:dyDescent="0.25">
      <c r="B139" s="15" t="s">
        <v>2089</v>
      </c>
      <c r="C139" s="17">
        <v>92</v>
      </c>
      <c r="F139" s="16" t="s">
        <v>2090</v>
      </c>
      <c r="G139" s="17">
        <v>44</v>
      </c>
    </row>
    <row r="140" spans="2:7" x14ac:dyDescent="0.25">
      <c r="B140" s="15" t="s">
        <v>2089</v>
      </c>
      <c r="C140" s="17">
        <v>62</v>
      </c>
      <c r="F140" s="16" t="s">
        <v>2090</v>
      </c>
      <c r="G140" s="17">
        <v>67</v>
      </c>
    </row>
    <row r="141" spans="2:7" x14ac:dyDescent="0.25">
      <c r="B141" s="15" t="s">
        <v>2089</v>
      </c>
      <c r="C141" s="17">
        <v>149</v>
      </c>
      <c r="F141" s="16" t="s">
        <v>2090</v>
      </c>
      <c r="G141" s="17">
        <v>1068</v>
      </c>
    </row>
    <row r="142" spans="2:7" x14ac:dyDescent="0.25">
      <c r="B142" s="15" t="s">
        <v>2089</v>
      </c>
      <c r="C142" s="17">
        <v>329</v>
      </c>
      <c r="F142" s="16" t="s">
        <v>2090</v>
      </c>
      <c r="G142" s="17">
        <v>424</v>
      </c>
    </row>
    <row r="143" spans="2:7" x14ac:dyDescent="0.25">
      <c r="B143" s="15" t="s">
        <v>2089</v>
      </c>
      <c r="C143" s="17">
        <v>97</v>
      </c>
      <c r="F143" s="16" t="s">
        <v>2090</v>
      </c>
      <c r="G143" s="17">
        <v>151</v>
      </c>
    </row>
    <row r="144" spans="2:7" x14ac:dyDescent="0.25">
      <c r="B144" s="15" t="s">
        <v>2089</v>
      </c>
      <c r="C144" s="17">
        <v>1784</v>
      </c>
      <c r="F144" s="16" t="s">
        <v>2090</v>
      </c>
      <c r="G144" s="17">
        <v>1608</v>
      </c>
    </row>
    <row r="145" spans="2:7" x14ac:dyDescent="0.25">
      <c r="B145" s="15" t="s">
        <v>2089</v>
      </c>
      <c r="C145" s="17">
        <v>1684</v>
      </c>
      <c r="F145" s="16" t="s">
        <v>2090</v>
      </c>
      <c r="G145" s="17">
        <v>941</v>
      </c>
    </row>
    <row r="146" spans="2:7" x14ac:dyDescent="0.25">
      <c r="B146" s="15" t="s">
        <v>2089</v>
      </c>
      <c r="C146" s="17">
        <v>250</v>
      </c>
      <c r="F146" s="16" t="s">
        <v>2090</v>
      </c>
      <c r="G146" s="17">
        <v>1</v>
      </c>
    </row>
    <row r="147" spans="2:7" x14ac:dyDescent="0.25">
      <c r="B147" s="15" t="s">
        <v>2089</v>
      </c>
      <c r="C147" s="17">
        <v>238</v>
      </c>
      <c r="F147" s="16" t="s">
        <v>2090</v>
      </c>
      <c r="G147" s="17">
        <v>40</v>
      </c>
    </row>
    <row r="148" spans="2:7" x14ac:dyDescent="0.25">
      <c r="B148" s="15" t="s">
        <v>2089</v>
      </c>
      <c r="C148" s="17">
        <v>53</v>
      </c>
      <c r="F148" s="16" t="s">
        <v>2090</v>
      </c>
      <c r="G148" s="17">
        <v>3015</v>
      </c>
    </row>
    <row r="149" spans="2:7" x14ac:dyDescent="0.25">
      <c r="B149" s="15" t="s">
        <v>2089</v>
      </c>
      <c r="C149" s="17">
        <v>214</v>
      </c>
      <c r="F149" s="16" t="s">
        <v>2090</v>
      </c>
      <c r="G149" s="17">
        <v>435</v>
      </c>
    </row>
    <row r="150" spans="2:7" x14ac:dyDescent="0.25">
      <c r="B150" s="15" t="s">
        <v>2089</v>
      </c>
      <c r="C150" s="17">
        <v>222</v>
      </c>
      <c r="F150" s="16" t="s">
        <v>2090</v>
      </c>
      <c r="G150" s="17">
        <v>714</v>
      </c>
    </row>
    <row r="151" spans="2:7" x14ac:dyDescent="0.25">
      <c r="B151" s="15" t="s">
        <v>2089</v>
      </c>
      <c r="C151" s="17">
        <v>1884</v>
      </c>
      <c r="F151" s="16" t="s">
        <v>2090</v>
      </c>
      <c r="G151" s="17">
        <v>5497</v>
      </c>
    </row>
    <row r="152" spans="2:7" x14ac:dyDescent="0.25">
      <c r="B152" s="15" t="s">
        <v>2089</v>
      </c>
      <c r="C152" s="17">
        <v>218</v>
      </c>
      <c r="F152" s="16" t="s">
        <v>2090</v>
      </c>
      <c r="G152" s="17">
        <v>418</v>
      </c>
    </row>
    <row r="153" spans="2:7" x14ac:dyDescent="0.25">
      <c r="B153" s="15" t="s">
        <v>2089</v>
      </c>
      <c r="C153" s="17">
        <v>6465</v>
      </c>
      <c r="F153" s="16" t="s">
        <v>2090</v>
      </c>
      <c r="G153" s="17">
        <v>1439</v>
      </c>
    </row>
    <row r="154" spans="2:7" x14ac:dyDescent="0.25">
      <c r="B154" s="15" t="s">
        <v>2089</v>
      </c>
      <c r="C154" s="17">
        <v>59</v>
      </c>
      <c r="F154" s="16" t="s">
        <v>2090</v>
      </c>
      <c r="G154" s="17">
        <v>15</v>
      </c>
    </row>
    <row r="155" spans="2:7" x14ac:dyDescent="0.25">
      <c r="B155" s="15" t="s">
        <v>2089</v>
      </c>
      <c r="C155" s="17">
        <v>88</v>
      </c>
      <c r="F155" s="16" t="s">
        <v>2090</v>
      </c>
      <c r="G155" s="17">
        <v>1999</v>
      </c>
    </row>
    <row r="156" spans="2:7" x14ac:dyDescent="0.25">
      <c r="B156" s="15" t="s">
        <v>2089</v>
      </c>
      <c r="C156" s="17">
        <v>1697</v>
      </c>
      <c r="F156" s="16" t="s">
        <v>2090</v>
      </c>
      <c r="G156" s="17">
        <v>118</v>
      </c>
    </row>
    <row r="157" spans="2:7" x14ac:dyDescent="0.25">
      <c r="B157" s="15" t="s">
        <v>2089</v>
      </c>
      <c r="C157" s="17">
        <v>92</v>
      </c>
      <c r="F157" s="16" t="s">
        <v>2090</v>
      </c>
      <c r="G157" s="17">
        <v>162</v>
      </c>
    </row>
    <row r="158" spans="2:7" x14ac:dyDescent="0.25">
      <c r="B158" s="15" t="s">
        <v>2089</v>
      </c>
      <c r="C158" s="17">
        <v>186</v>
      </c>
      <c r="F158" s="16" t="s">
        <v>2090</v>
      </c>
      <c r="G158" s="17">
        <v>83</v>
      </c>
    </row>
    <row r="159" spans="2:7" x14ac:dyDescent="0.25">
      <c r="B159" s="15" t="s">
        <v>2089</v>
      </c>
      <c r="C159" s="17">
        <v>138</v>
      </c>
      <c r="F159" s="16" t="s">
        <v>2090</v>
      </c>
      <c r="G159" s="17">
        <v>747</v>
      </c>
    </row>
    <row r="160" spans="2:7" x14ac:dyDescent="0.25">
      <c r="B160" s="15" t="s">
        <v>2089</v>
      </c>
      <c r="C160" s="17">
        <v>261</v>
      </c>
      <c r="F160" s="16" t="s">
        <v>2090</v>
      </c>
      <c r="G160" s="17">
        <v>84</v>
      </c>
    </row>
    <row r="161" spans="2:7" x14ac:dyDescent="0.25">
      <c r="B161" s="15" t="s">
        <v>2089</v>
      </c>
      <c r="C161" s="17">
        <v>107</v>
      </c>
      <c r="F161" s="16" t="s">
        <v>2090</v>
      </c>
      <c r="G161" s="17">
        <v>91</v>
      </c>
    </row>
    <row r="162" spans="2:7" x14ac:dyDescent="0.25">
      <c r="B162" s="15" t="s">
        <v>2089</v>
      </c>
      <c r="C162" s="17">
        <v>199</v>
      </c>
      <c r="F162" s="16" t="s">
        <v>2090</v>
      </c>
      <c r="G162" s="17">
        <v>792</v>
      </c>
    </row>
    <row r="163" spans="2:7" x14ac:dyDescent="0.25">
      <c r="B163" s="15" t="s">
        <v>2089</v>
      </c>
      <c r="C163" s="17">
        <v>5512</v>
      </c>
      <c r="F163" s="16" t="s">
        <v>2090</v>
      </c>
      <c r="G163" s="17">
        <v>32</v>
      </c>
    </row>
    <row r="164" spans="2:7" x14ac:dyDescent="0.25">
      <c r="B164" s="15" t="s">
        <v>2089</v>
      </c>
      <c r="C164" s="17">
        <v>86</v>
      </c>
      <c r="F164" s="16" t="s">
        <v>2090</v>
      </c>
      <c r="G164" s="17">
        <v>186</v>
      </c>
    </row>
    <row r="165" spans="2:7" x14ac:dyDescent="0.25">
      <c r="B165" s="15" t="s">
        <v>2089</v>
      </c>
      <c r="C165" s="17">
        <v>2768</v>
      </c>
      <c r="F165" s="16" t="s">
        <v>2090</v>
      </c>
      <c r="G165" s="17">
        <v>605</v>
      </c>
    </row>
    <row r="166" spans="2:7" x14ac:dyDescent="0.25">
      <c r="B166" s="15" t="s">
        <v>2089</v>
      </c>
      <c r="C166" s="17">
        <v>48</v>
      </c>
      <c r="F166" s="16" t="s">
        <v>2090</v>
      </c>
      <c r="G166" s="17">
        <v>1</v>
      </c>
    </row>
    <row r="167" spans="2:7" x14ac:dyDescent="0.25">
      <c r="B167" s="15" t="s">
        <v>2089</v>
      </c>
      <c r="C167" s="17">
        <v>87</v>
      </c>
      <c r="F167" s="16" t="s">
        <v>2090</v>
      </c>
      <c r="G167" s="17">
        <v>31</v>
      </c>
    </row>
    <row r="168" spans="2:7" x14ac:dyDescent="0.25">
      <c r="B168" s="15" t="s">
        <v>2089</v>
      </c>
      <c r="C168" s="17">
        <v>1894</v>
      </c>
      <c r="F168" s="16" t="s">
        <v>2090</v>
      </c>
      <c r="G168" s="17">
        <v>1181</v>
      </c>
    </row>
    <row r="169" spans="2:7" x14ac:dyDescent="0.25">
      <c r="B169" s="15" t="s">
        <v>2089</v>
      </c>
      <c r="C169" s="17">
        <v>282</v>
      </c>
      <c r="F169" s="16" t="s">
        <v>2090</v>
      </c>
      <c r="G169" s="17">
        <v>39</v>
      </c>
    </row>
    <row r="170" spans="2:7" x14ac:dyDescent="0.25">
      <c r="B170" s="15" t="s">
        <v>2089</v>
      </c>
      <c r="C170" s="17">
        <v>116</v>
      </c>
      <c r="F170" s="16" t="s">
        <v>2090</v>
      </c>
      <c r="G170" s="17">
        <v>46</v>
      </c>
    </row>
    <row r="171" spans="2:7" x14ac:dyDescent="0.25">
      <c r="B171" s="15" t="s">
        <v>2089</v>
      </c>
      <c r="C171" s="17">
        <v>83</v>
      </c>
      <c r="F171" s="16" t="s">
        <v>2090</v>
      </c>
      <c r="G171" s="17">
        <v>105</v>
      </c>
    </row>
    <row r="172" spans="2:7" x14ac:dyDescent="0.25">
      <c r="B172" s="15" t="s">
        <v>2089</v>
      </c>
      <c r="C172" s="17">
        <v>91</v>
      </c>
      <c r="F172" s="16" t="s">
        <v>2090</v>
      </c>
      <c r="G172" s="17">
        <v>535</v>
      </c>
    </row>
    <row r="173" spans="2:7" x14ac:dyDescent="0.25">
      <c r="B173" s="15" t="s">
        <v>2089</v>
      </c>
      <c r="C173" s="17">
        <v>546</v>
      </c>
      <c r="F173" s="16" t="s">
        <v>2090</v>
      </c>
      <c r="G173" s="17">
        <v>16</v>
      </c>
    </row>
    <row r="174" spans="2:7" x14ac:dyDescent="0.25">
      <c r="B174" s="15" t="s">
        <v>2089</v>
      </c>
      <c r="C174" s="17">
        <v>393</v>
      </c>
      <c r="F174" s="16" t="s">
        <v>2090</v>
      </c>
      <c r="G174" s="17">
        <v>575</v>
      </c>
    </row>
    <row r="175" spans="2:7" x14ac:dyDescent="0.25">
      <c r="B175" s="15" t="s">
        <v>2089</v>
      </c>
      <c r="C175" s="17">
        <v>133</v>
      </c>
      <c r="F175" s="16" t="s">
        <v>2090</v>
      </c>
      <c r="G175" s="17">
        <v>1120</v>
      </c>
    </row>
    <row r="176" spans="2:7" x14ac:dyDescent="0.25">
      <c r="B176" s="15" t="s">
        <v>2089</v>
      </c>
      <c r="C176" s="17">
        <v>254</v>
      </c>
      <c r="F176" s="16" t="s">
        <v>2090</v>
      </c>
      <c r="G176" s="17">
        <v>113</v>
      </c>
    </row>
    <row r="177" spans="2:7" x14ac:dyDescent="0.25">
      <c r="B177" s="15" t="s">
        <v>2089</v>
      </c>
      <c r="C177" s="17">
        <v>176</v>
      </c>
      <c r="F177" s="16" t="s">
        <v>2090</v>
      </c>
      <c r="G177" s="17">
        <v>1538</v>
      </c>
    </row>
    <row r="178" spans="2:7" x14ac:dyDescent="0.25">
      <c r="B178" s="15" t="s">
        <v>2089</v>
      </c>
      <c r="C178" s="17">
        <v>337</v>
      </c>
      <c r="F178" s="16" t="s">
        <v>2090</v>
      </c>
      <c r="G178" s="17">
        <v>9</v>
      </c>
    </row>
    <row r="179" spans="2:7" x14ac:dyDescent="0.25">
      <c r="B179" s="15" t="s">
        <v>2089</v>
      </c>
      <c r="C179" s="17">
        <v>107</v>
      </c>
      <c r="F179" s="16" t="s">
        <v>2090</v>
      </c>
      <c r="G179" s="17">
        <v>554</v>
      </c>
    </row>
    <row r="180" spans="2:7" x14ac:dyDescent="0.25">
      <c r="B180" s="15" t="s">
        <v>2089</v>
      </c>
      <c r="C180" s="17">
        <v>183</v>
      </c>
      <c r="F180" s="16" t="s">
        <v>2090</v>
      </c>
      <c r="G180" s="17">
        <v>648</v>
      </c>
    </row>
    <row r="181" spans="2:7" x14ac:dyDescent="0.25">
      <c r="B181" s="15" t="s">
        <v>2089</v>
      </c>
      <c r="C181" s="17">
        <v>72</v>
      </c>
      <c r="F181" s="16" t="s">
        <v>2090</v>
      </c>
      <c r="G181" s="17">
        <v>21</v>
      </c>
    </row>
    <row r="182" spans="2:7" x14ac:dyDescent="0.25">
      <c r="B182" s="15" t="s">
        <v>2089</v>
      </c>
      <c r="C182" s="17">
        <v>295</v>
      </c>
      <c r="F182" s="16" t="s">
        <v>2090</v>
      </c>
      <c r="G182" s="17">
        <v>54</v>
      </c>
    </row>
    <row r="183" spans="2:7" x14ac:dyDescent="0.25">
      <c r="B183" s="15" t="s">
        <v>2089</v>
      </c>
      <c r="C183" s="17">
        <v>142</v>
      </c>
      <c r="F183" s="16" t="s">
        <v>2090</v>
      </c>
      <c r="G183" s="17">
        <v>120</v>
      </c>
    </row>
    <row r="184" spans="2:7" x14ac:dyDescent="0.25">
      <c r="B184" s="15" t="s">
        <v>2089</v>
      </c>
      <c r="C184" s="17">
        <v>85</v>
      </c>
      <c r="F184" s="16" t="s">
        <v>2090</v>
      </c>
      <c r="G184" s="17">
        <v>579</v>
      </c>
    </row>
    <row r="185" spans="2:7" x14ac:dyDescent="0.25">
      <c r="B185" s="15" t="s">
        <v>2089</v>
      </c>
      <c r="C185" s="17">
        <v>659</v>
      </c>
      <c r="F185" s="16" t="s">
        <v>2090</v>
      </c>
      <c r="G185" s="17">
        <v>2072</v>
      </c>
    </row>
    <row r="186" spans="2:7" x14ac:dyDescent="0.25">
      <c r="B186" s="15" t="s">
        <v>2089</v>
      </c>
      <c r="C186" s="17">
        <v>121</v>
      </c>
      <c r="F186" s="16" t="s">
        <v>2090</v>
      </c>
      <c r="G186" s="17">
        <v>0</v>
      </c>
    </row>
    <row r="187" spans="2:7" x14ac:dyDescent="0.25">
      <c r="B187" s="15" t="s">
        <v>2089</v>
      </c>
      <c r="C187" s="17">
        <v>3742</v>
      </c>
      <c r="F187" s="16" t="s">
        <v>2090</v>
      </c>
      <c r="G187" s="17">
        <v>1796</v>
      </c>
    </row>
    <row r="188" spans="2:7" x14ac:dyDescent="0.25">
      <c r="B188" s="15" t="s">
        <v>2089</v>
      </c>
      <c r="C188" s="17">
        <v>223</v>
      </c>
      <c r="F188" s="16" t="s">
        <v>2090</v>
      </c>
      <c r="G188" s="17">
        <v>62</v>
      </c>
    </row>
    <row r="189" spans="2:7" x14ac:dyDescent="0.25">
      <c r="B189" s="15" t="s">
        <v>2089</v>
      </c>
      <c r="C189" s="17">
        <v>133</v>
      </c>
      <c r="F189" s="16" t="s">
        <v>2090</v>
      </c>
      <c r="G189" s="17">
        <v>347</v>
      </c>
    </row>
    <row r="190" spans="2:7" x14ac:dyDescent="0.25">
      <c r="B190" s="15" t="s">
        <v>2089</v>
      </c>
      <c r="C190" s="17">
        <v>5168</v>
      </c>
      <c r="F190" s="16" t="s">
        <v>2090</v>
      </c>
      <c r="G190" s="17">
        <v>19</v>
      </c>
    </row>
    <row r="191" spans="2:7" x14ac:dyDescent="0.25">
      <c r="B191" s="15" t="s">
        <v>2089</v>
      </c>
      <c r="C191" s="17">
        <v>307</v>
      </c>
      <c r="F191" s="16" t="s">
        <v>2090</v>
      </c>
      <c r="G191" s="17">
        <v>1258</v>
      </c>
    </row>
    <row r="192" spans="2:7" x14ac:dyDescent="0.25">
      <c r="B192" s="15" t="s">
        <v>2089</v>
      </c>
      <c r="C192" s="17">
        <v>2441</v>
      </c>
      <c r="F192" s="16" t="s">
        <v>2090</v>
      </c>
      <c r="G192" s="17">
        <v>362</v>
      </c>
    </row>
    <row r="193" spans="2:7" x14ac:dyDescent="0.25">
      <c r="B193" s="15" t="s">
        <v>2089</v>
      </c>
      <c r="C193" s="17">
        <v>1385</v>
      </c>
      <c r="F193" s="16" t="s">
        <v>2090</v>
      </c>
      <c r="G193" s="17">
        <v>133</v>
      </c>
    </row>
    <row r="194" spans="2:7" x14ac:dyDescent="0.25">
      <c r="B194" s="15" t="s">
        <v>2089</v>
      </c>
      <c r="C194" s="17">
        <v>190</v>
      </c>
      <c r="F194" s="16" t="s">
        <v>2090</v>
      </c>
      <c r="G194" s="17">
        <v>846</v>
      </c>
    </row>
    <row r="195" spans="2:7" x14ac:dyDescent="0.25">
      <c r="B195" s="15" t="s">
        <v>2089</v>
      </c>
      <c r="C195" s="17">
        <v>470</v>
      </c>
      <c r="F195" s="16" t="s">
        <v>2090</v>
      </c>
      <c r="G195" s="17">
        <v>10</v>
      </c>
    </row>
    <row r="196" spans="2:7" x14ac:dyDescent="0.25">
      <c r="B196" s="15" t="s">
        <v>2089</v>
      </c>
      <c r="C196" s="17">
        <v>253</v>
      </c>
      <c r="F196" s="16" t="s">
        <v>2090</v>
      </c>
      <c r="G196" s="17">
        <v>191</v>
      </c>
    </row>
    <row r="197" spans="2:7" x14ac:dyDescent="0.25">
      <c r="B197" s="15" t="s">
        <v>2089</v>
      </c>
      <c r="C197" s="17">
        <v>1113</v>
      </c>
      <c r="F197" s="16" t="s">
        <v>2090</v>
      </c>
      <c r="G197" s="17">
        <v>1979</v>
      </c>
    </row>
    <row r="198" spans="2:7" x14ac:dyDescent="0.25">
      <c r="B198" s="15" t="s">
        <v>2089</v>
      </c>
      <c r="C198" s="17">
        <v>2283</v>
      </c>
      <c r="F198" s="16" t="s">
        <v>2090</v>
      </c>
      <c r="G198" s="17">
        <v>63</v>
      </c>
    </row>
    <row r="199" spans="2:7" x14ac:dyDescent="0.25">
      <c r="B199" s="15" t="s">
        <v>2089</v>
      </c>
      <c r="C199" s="17">
        <v>1095</v>
      </c>
      <c r="F199" s="16" t="s">
        <v>2090</v>
      </c>
      <c r="G199" s="17">
        <v>6080</v>
      </c>
    </row>
    <row r="200" spans="2:7" x14ac:dyDescent="0.25">
      <c r="B200" s="15" t="s">
        <v>2089</v>
      </c>
      <c r="C200" s="17">
        <v>1690</v>
      </c>
      <c r="F200" s="16" t="s">
        <v>2090</v>
      </c>
      <c r="G200" s="17">
        <v>80</v>
      </c>
    </row>
    <row r="201" spans="2:7" x14ac:dyDescent="0.25">
      <c r="B201" s="15" t="s">
        <v>2089</v>
      </c>
      <c r="C201" s="17">
        <v>191</v>
      </c>
      <c r="F201" s="16" t="s">
        <v>2090</v>
      </c>
      <c r="G201" s="17">
        <v>9</v>
      </c>
    </row>
    <row r="202" spans="2:7" x14ac:dyDescent="0.25">
      <c r="B202" s="15" t="s">
        <v>2089</v>
      </c>
      <c r="C202" s="17">
        <v>2013</v>
      </c>
      <c r="F202" s="16" t="s">
        <v>2090</v>
      </c>
      <c r="G202" s="17">
        <v>1784</v>
      </c>
    </row>
    <row r="203" spans="2:7" x14ac:dyDescent="0.25">
      <c r="B203" s="15" t="s">
        <v>2089</v>
      </c>
      <c r="C203" s="17">
        <v>1703</v>
      </c>
      <c r="F203" s="16" t="s">
        <v>2090</v>
      </c>
      <c r="G203" s="17">
        <v>243</v>
      </c>
    </row>
    <row r="204" spans="2:7" x14ac:dyDescent="0.25">
      <c r="B204" s="15" t="s">
        <v>2089</v>
      </c>
      <c r="C204" s="17">
        <v>80</v>
      </c>
      <c r="F204" s="16" t="s">
        <v>2090</v>
      </c>
      <c r="G204" s="17">
        <v>1296</v>
      </c>
    </row>
    <row r="205" spans="2:7" x14ac:dyDescent="0.25">
      <c r="B205" s="15" t="s">
        <v>2089</v>
      </c>
      <c r="C205" s="17">
        <v>41</v>
      </c>
      <c r="F205" s="16" t="s">
        <v>2090</v>
      </c>
      <c r="G205" s="17">
        <v>77</v>
      </c>
    </row>
    <row r="206" spans="2:7" x14ac:dyDescent="0.25">
      <c r="B206" s="15" t="s">
        <v>2089</v>
      </c>
      <c r="C206" s="17">
        <v>187</v>
      </c>
      <c r="F206" s="16" t="s">
        <v>2090</v>
      </c>
      <c r="G206" s="17">
        <v>395</v>
      </c>
    </row>
    <row r="207" spans="2:7" x14ac:dyDescent="0.25">
      <c r="B207" s="15" t="s">
        <v>2089</v>
      </c>
      <c r="C207" s="17">
        <v>2875</v>
      </c>
      <c r="F207" s="16" t="s">
        <v>2090</v>
      </c>
      <c r="G207" s="17">
        <v>49</v>
      </c>
    </row>
    <row r="208" spans="2:7" x14ac:dyDescent="0.25">
      <c r="B208" s="15" t="s">
        <v>2089</v>
      </c>
      <c r="C208" s="17">
        <v>88</v>
      </c>
      <c r="F208" s="16" t="s">
        <v>2090</v>
      </c>
      <c r="G208" s="17">
        <v>180</v>
      </c>
    </row>
    <row r="209" spans="2:7" x14ac:dyDescent="0.25">
      <c r="B209" s="15" t="s">
        <v>2089</v>
      </c>
      <c r="C209" s="17">
        <v>191</v>
      </c>
      <c r="F209" s="16" t="s">
        <v>2090</v>
      </c>
      <c r="G209" s="17">
        <v>2690</v>
      </c>
    </row>
    <row r="210" spans="2:7" x14ac:dyDescent="0.25">
      <c r="B210" s="15" t="s">
        <v>2089</v>
      </c>
      <c r="C210" s="17">
        <v>139</v>
      </c>
      <c r="F210" s="16" t="s">
        <v>2090</v>
      </c>
      <c r="G210" s="17">
        <v>2779</v>
      </c>
    </row>
    <row r="211" spans="2:7" x14ac:dyDescent="0.25">
      <c r="B211" s="15" t="s">
        <v>2089</v>
      </c>
      <c r="C211" s="17">
        <v>186</v>
      </c>
      <c r="F211" s="16" t="s">
        <v>2090</v>
      </c>
      <c r="G211" s="17">
        <v>92</v>
      </c>
    </row>
    <row r="212" spans="2:7" x14ac:dyDescent="0.25">
      <c r="B212" s="15" t="s">
        <v>2089</v>
      </c>
      <c r="C212" s="17">
        <v>112</v>
      </c>
      <c r="F212" s="16" t="s">
        <v>2090</v>
      </c>
      <c r="G212" s="17">
        <v>1028</v>
      </c>
    </row>
    <row r="213" spans="2:7" x14ac:dyDescent="0.25">
      <c r="B213" s="15" t="s">
        <v>2089</v>
      </c>
      <c r="C213" s="17">
        <v>101</v>
      </c>
      <c r="F213" s="16" t="s">
        <v>2090</v>
      </c>
      <c r="G213" s="17">
        <v>26</v>
      </c>
    </row>
    <row r="214" spans="2:7" x14ac:dyDescent="0.25">
      <c r="B214" s="15" t="s">
        <v>2089</v>
      </c>
      <c r="C214" s="17">
        <v>206</v>
      </c>
      <c r="F214" s="16" t="s">
        <v>2090</v>
      </c>
      <c r="G214" s="17">
        <v>1790</v>
      </c>
    </row>
    <row r="215" spans="2:7" x14ac:dyDescent="0.25">
      <c r="B215" s="15" t="s">
        <v>2089</v>
      </c>
      <c r="C215" s="17">
        <v>154</v>
      </c>
      <c r="F215" s="16" t="s">
        <v>2090</v>
      </c>
      <c r="G215" s="17">
        <v>37</v>
      </c>
    </row>
    <row r="216" spans="2:7" x14ac:dyDescent="0.25">
      <c r="B216" s="15" t="s">
        <v>2089</v>
      </c>
      <c r="C216" s="17">
        <v>5966</v>
      </c>
      <c r="F216" s="16" t="s">
        <v>2090</v>
      </c>
      <c r="G216" s="17">
        <v>35</v>
      </c>
    </row>
    <row r="217" spans="2:7" x14ac:dyDescent="0.25">
      <c r="B217" s="15" t="s">
        <v>2089</v>
      </c>
      <c r="C217" s="17">
        <v>169</v>
      </c>
      <c r="F217" s="16" t="s">
        <v>2090</v>
      </c>
      <c r="G217" s="17">
        <v>558</v>
      </c>
    </row>
    <row r="218" spans="2:7" x14ac:dyDescent="0.25">
      <c r="B218" s="15" t="s">
        <v>2089</v>
      </c>
      <c r="C218" s="17">
        <v>2106</v>
      </c>
      <c r="F218" s="16" t="s">
        <v>2090</v>
      </c>
      <c r="G218" s="17">
        <v>64</v>
      </c>
    </row>
    <row r="219" spans="2:7" x14ac:dyDescent="0.25">
      <c r="B219" s="15" t="s">
        <v>2089</v>
      </c>
      <c r="C219" s="17">
        <v>131</v>
      </c>
      <c r="F219" s="16" t="s">
        <v>2090</v>
      </c>
      <c r="G219" s="17">
        <v>245</v>
      </c>
    </row>
    <row r="220" spans="2:7" x14ac:dyDescent="0.25">
      <c r="B220" s="15" t="s">
        <v>2089</v>
      </c>
      <c r="C220" s="17">
        <v>84</v>
      </c>
      <c r="F220" s="16" t="s">
        <v>2090</v>
      </c>
      <c r="G220" s="17">
        <v>71</v>
      </c>
    </row>
    <row r="221" spans="2:7" x14ac:dyDescent="0.25">
      <c r="B221" s="15" t="s">
        <v>2089</v>
      </c>
      <c r="C221" s="17">
        <v>155</v>
      </c>
      <c r="F221" s="16" t="s">
        <v>2090</v>
      </c>
      <c r="G221" s="17">
        <v>42</v>
      </c>
    </row>
    <row r="222" spans="2:7" x14ac:dyDescent="0.25">
      <c r="B222" s="15" t="s">
        <v>2089</v>
      </c>
      <c r="C222" s="17">
        <v>189</v>
      </c>
      <c r="F222" s="16" t="s">
        <v>2090</v>
      </c>
      <c r="G222" s="17">
        <v>156</v>
      </c>
    </row>
    <row r="223" spans="2:7" x14ac:dyDescent="0.25">
      <c r="B223" s="15" t="s">
        <v>2089</v>
      </c>
      <c r="C223" s="17">
        <v>4799</v>
      </c>
      <c r="F223" s="16" t="s">
        <v>2090</v>
      </c>
      <c r="G223" s="17">
        <v>1368</v>
      </c>
    </row>
    <row r="224" spans="2:7" x14ac:dyDescent="0.25">
      <c r="B224" s="15" t="s">
        <v>2089</v>
      </c>
      <c r="C224" s="17">
        <v>1137</v>
      </c>
      <c r="F224" s="16" t="s">
        <v>2090</v>
      </c>
      <c r="G224" s="17">
        <v>102</v>
      </c>
    </row>
    <row r="225" spans="2:7" x14ac:dyDescent="0.25">
      <c r="B225" s="15" t="s">
        <v>2089</v>
      </c>
      <c r="C225" s="17">
        <v>1152</v>
      </c>
      <c r="F225" s="16" t="s">
        <v>2090</v>
      </c>
      <c r="G225" s="17">
        <v>86</v>
      </c>
    </row>
    <row r="226" spans="2:7" x14ac:dyDescent="0.25">
      <c r="B226" s="15" t="s">
        <v>2089</v>
      </c>
      <c r="C226" s="17">
        <v>50</v>
      </c>
      <c r="F226" s="16" t="s">
        <v>2090</v>
      </c>
      <c r="G226" s="17">
        <v>253</v>
      </c>
    </row>
    <row r="227" spans="2:7" x14ac:dyDescent="0.25">
      <c r="B227" s="15" t="s">
        <v>2089</v>
      </c>
      <c r="C227" s="17">
        <v>3059</v>
      </c>
      <c r="F227" s="16" t="s">
        <v>2090</v>
      </c>
      <c r="G227" s="17">
        <v>157</v>
      </c>
    </row>
    <row r="228" spans="2:7" x14ac:dyDescent="0.25">
      <c r="B228" s="15" t="s">
        <v>2089</v>
      </c>
      <c r="C228" s="17">
        <v>34</v>
      </c>
      <c r="F228" s="16" t="s">
        <v>2090</v>
      </c>
      <c r="G228" s="17">
        <v>183</v>
      </c>
    </row>
    <row r="229" spans="2:7" x14ac:dyDescent="0.25">
      <c r="B229" s="15" t="s">
        <v>2089</v>
      </c>
      <c r="C229" s="17">
        <v>220</v>
      </c>
      <c r="F229" s="16" t="s">
        <v>2090</v>
      </c>
      <c r="G229" s="17">
        <v>82</v>
      </c>
    </row>
    <row r="230" spans="2:7" x14ac:dyDescent="0.25">
      <c r="B230" s="15" t="s">
        <v>2089</v>
      </c>
      <c r="C230" s="17">
        <v>1604</v>
      </c>
      <c r="F230" s="16" t="s">
        <v>2090</v>
      </c>
      <c r="G230" s="17">
        <v>1</v>
      </c>
    </row>
    <row r="231" spans="2:7" x14ac:dyDescent="0.25">
      <c r="B231" s="15" t="s">
        <v>2089</v>
      </c>
      <c r="C231" s="17">
        <v>454</v>
      </c>
      <c r="F231" s="16" t="s">
        <v>2090</v>
      </c>
      <c r="G231" s="17">
        <v>1198</v>
      </c>
    </row>
    <row r="232" spans="2:7" x14ac:dyDescent="0.25">
      <c r="B232" s="15" t="s">
        <v>2089</v>
      </c>
      <c r="C232" s="17">
        <v>123</v>
      </c>
      <c r="F232" s="16" t="s">
        <v>2090</v>
      </c>
      <c r="G232" s="17">
        <v>648</v>
      </c>
    </row>
    <row r="233" spans="2:7" x14ac:dyDescent="0.25">
      <c r="B233" s="15" t="s">
        <v>2089</v>
      </c>
      <c r="C233" s="17">
        <v>299</v>
      </c>
      <c r="F233" s="16" t="s">
        <v>2090</v>
      </c>
      <c r="G233" s="17">
        <v>64</v>
      </c>
    </row>
    <row r="234" spans="2:7" x14ac:dyDescent="0.25">
      <c r="B234" s="15" t="s">
        <v>2089</v>
      </c>
      <c r="C234" s="17">
        <v>2237</v>
      </c>
      <c r="F234" s="16" t="s">
        <v>2090</v>
      </c>
      <c r="G234" s="17">
        <v>62</v>
      </c>
    </row>
    <row r="235" spans="2:7" x14ac:dyDescent="0.25">
      <c r="B235" s="15" t="s">
        <v>2089</v>
      </c>
      <c r="C235" s="17">
        <v>645</v>
      </c>
      <c r="F235" s="16" t="s">
        <v>2090</v>
      </c>
      <c r="G235" s="17">
        <v>750</v>
      </c>
    </row>
    <row r="236" spans="2:7" x14ac:dyDescent="0.25">
      <c r="B236" s="15" t="s">
        <v>2089</v>
      </c>
      <c r="C236" s="17">
        <v>484</v>
      </c>
      <c r="F236" s="16" t="s">
        <v>2090</v>
      </c>
      <c r="G236" s="17">
        <v>105</v>
      </c>
    </row>
    <row r="237" spans="2:7" x14ac:dyDescent="0.25">
      <c r="B237" s="15" t="s">
        <v>2089</v>
      </c>
      <c r="C237" s="17">
        <v>154</v>
      </c>
      <c r="F237" s="16" t="s">
        <v>2090</v>
      </c>
      <c r="G237" s="17">
        <v>2604</v>
      </c>
    </row>
    <row r="238" spans="2:7" x14ac:dyDescent="0.25">
      <c r="B238" s="15" t="s">
        <v>2089</v>
      </c>
      <c r="C238" s="17">
        <v>82</v>
      </c>
      <c r="F238" s="16" t="s">
        <v>2090</v>
      </c>
      <c r="G238" s="17">
        <v>65</v>
      </c>
    </row>
    <row r="239" spans="2:7" x14ac:dyDescent="0.25">
      <c r="B239" s="15" t="s">
        <v>2089</v>
      </c>
      <c r="C239" s="17">
        <v>134</v>
      </c>
      <c r="F239" s="16" t="s">
        <v>2090</v>
      </c>
      <c r="G239" s="17">
        <v>94</v>
      </c>
    </row>
    <row r="240" spans="2:7" x14ac:dyDescent="0.25">
      <c r="B240" s="15" t="s">
        <v>2089</v>
      </c>
      <c r="C240" s="17">
        <v>5203</v>
      </c>
      <c r="F240" s="16" t="s">
        <v>2090</v>
      </c>
      <c r="G240" s="17">
        <v>257</v>
      </c>
    </row>
    <row r="241" spans="2:7" x14ac:dyDescent="0.25">
      <c r="B241" s="15" t="s">
        <v>2089</v>
      </c>
      <c r="C241" s="17">
        <v>94</v>
      </c>
      <c r="F241" s="16" t="s">
        <v>2090</v>
      </c>
      <c r="G241" s="17">
        <v>2928</v>
      </c>
    </row>
    <row r="242" spans="2:7" x14ac:dyDescent="0.25">
      <c r="B242" s="15" t="s">
        <v>2089</v>
      </c>
      <c r="C242" s="17">
        <v>205</v>
      </c>
      <c r="F242" s="16" t="s">
        <v>2090</v>
      </c>
      <c r="G242" s="17">
        <v>4697</v>
      </c>
    </row>
    <row r="243" spans="2:7" x14ac:dyDescent="0.25">
      <c r="B243" s="15" t="s">
        <v>2089</v>
      </c>
      <c r="C243" s="17">
        <v>92</v>
      </c>
      <c r="F243" s="16" t="s">
        <v>2090</v>
      </c>
      <c r="G243" s="17">
        <v>2915</v>
      </c>
    </row>
    <row r="244" spans="2:7" x14ac:dyDescent="0.25">
      <c r="B244" s="15" t="s">
        <v>2089</v>
      </c>
      <c r="C244" s="17">
        <v>219</v>
      </c>
      <c r="F244" s="16" t="s">
        <v>2090</v>
      </c>
      <c r="G244" s="17">
        <v>18</v>
      </c>
    </row>
    <row r="245" spans="2:7" x14ac:dyDescent="0.25">
      <c r="B245" s="15" t="s">
        <v>2089</v>
      </c>
      <c r="C245" s="17">
        <v>2526</v>
      </c>
      <c r="F245" s="16" t="s">
        <v>2090</v>
      </c>
      <c r="G245" s="17">
        <v>602</v>
      </c>
    </row>
    <row r="246" spans="2:7" x14ac:dyDescent="0.25">
      <c r="B246" s="15" t="s">
        <v>2089</v>
      </c>
      <c r="C246" s="17">
        <v>94</v>
      </c>
      <c r="F246" s="16" t="s">
        <v>2090</v>
      </c>
      <c r="G246" s="17">
        <v>1</v>
      </c>
    </row>
    <row r="247" spans="2:7" x14ac:dyDescent="0.25">
      <c r="B247" s="15" t="s">
        <v>2089</v>
      </c>
      <c r="C247" s="17">
        <v>1713</v>
      </c>
      <c r="F247" s="16" t="s">
        <v>2090</v>
      </c>
      <c r="G247" s="17">
        <v>3868</v>
      </c>
    </row>
    <row r="248" spans="2:7" x14ac:dyDescent="0.25">
      <c r="B248" s="15" t="s">
        <v>2089</v>
      </c>
      <c r="C248" s="17">
        <v>249</v>
      </c>
      <c r="F248" s="16" t="s">
        <v>2090</v>
      </c>
      <c r="G248" s="17">
        <v>504</v>
      </c>
    </row>
    <row r="249" spans="2:7" x14ac:dyDescent="0.25">
      <c r="B249" s="15" t="s">
        <v>2089</v>
      </c>
      <c r="C249" s="17">
        <v>192</v>
      </c>
      <c r="F249" s="16" t="s">
        <v>2090</v>
      </c>
      <c r="G249" s="17">
        <v>14</v>
      </c>
    </row>
    <row r="250" spans="2:7" x14ac:dyDescent="0.25">
      <c r="B250" s="15" t="s">
        <v>2089</v>
      </c>
      <c r="C250" s="17">
        <v>247</v>
      </c>
      <c r="F250" s="16" t="s">
        <v>2090</v>
      </c>
      <c r="G250" s="17">
        <v>750</v>
      </c>
    </row>
    <row r="251" spans="2:7" x14ac:dyDescent="0.25">
      <c r="B251" s="15" t="s">
        <v>2089</v>
      </c>
      <c r="C251" s="17">
        <v>2293</v>
      </c>
      <c r="F251" s="16" t="s">
        <v>2090</v>
      </c>
      <c r="G251" s="17">
        <v>77</v>
      </c>
    </row>
    <row r="252" spans="2:7" x14ac:dyDescent="0.25">
      <c r="B252" s="15" t="s">
        <v>2089</v>
      </c>
      <c r="C252" s="17">
        <v>3131</v>
      </c>
      <c r="F252" s="16" t="s">
        <v>2090</v>
      </c>
      <c r="G252" s="17">
        <v>752</v>
      </c>
    </row>
    <row r="253" spans="2:7" x14ac:dyDescent="0.25">
      <c r="B253" s="15" t="s">
        <v>2089</v>
      </c>
      <c r="C253" s="17">
        <v>143</v>
      </c>
      <c r="F253" s="16" t="s">
        <v>2090</v>
      </c>
      <c r="G253" s="17">
        <v>131</v>
      </c>
    </row>
    <row r="254" spans="2:7" x14ac:dyDescent="0.25">
      <c r="B254" s="15" t="s">
        <v>2089</v>
      </c>
      <c r="C254" s="17">
        <v>296</v>
      </c>
      <c r="F254" s="16" t="s">
        <v>2090</v>
      </c>
      <c r="G254" s="17">
        <v>87</v>
      </c>
    </row>
    <row r="255" spans="2:7" x14ac:dyDescent="0.25">
      <c r="B255" s="15" t="s">
        <v>2089</v>
      </c>
      <c r="C255" s="17">
        <v>170</v>
      </c>
      <c r="F255" s="16" t="s">
        <v>2090</v>
      </c>
      <c r="G255" s="17">
        <v>1063</v>
      </c>
    </row>
    <row r="256" spans="2:7" x14ac:dyDescent="0.25">
      <c r="B256" s="15" t="s">
        <v>2089</v>
      </c>
      <c r="C256" s="17">
        <v>86</v>
      </c>
      <c r="F256" s="16" t="s">
        <v>2090</v>
      </c>
      <c r="G256" s="17">
        <v>76</v>
      </c>
    </row>
    <row r="257" spans="2:7" x14ac:dyDescent="0.25">
      <c r="B257" s="15" t="s">
        <v>2089</v>
      </c>
      <c r="C257" s="17">
        <v>6286</v>
      </c>
      <c r="F257" s="16" t="s">
        <v>2090</v>
      </c>
      <c r="G257" s="17">
        <v>4428</v>
      </c>
    </row>
    <row r="258" spans="2:7" x14ac:dyDescent="0.25">
      <c r="B258" s="15" t="s">
        <v>2089</v>
      </c>
      <c r="C258" s="17">
        <v>3727</v>
      </c>
      <c r="F258" s="16" t="s">
        <v>2090</v>
      </c>
      <c r="G258" s="17">
        <v>58</v>
      </c>
    </row>
    <row r="259" spans="2:7" x14ac:dyDescent="0.25">
      <c r="B259" s="15" t="s">
        <v>2089</v>
      </c>
      <c r="C259" s="17">
        <v>1605</v>
      </c>
      <c r="F259" s="16" t="s">
        <v>2090</v>
      </c>
      <c r="G259" s="17">
        <v>111</v>
      </c>
    </row>
    <row r="260" spans="2:7" x14ac:dyDescent="0.25">
      <c r="B260" s="15" t="s">
        <v>2089</v>
      </c>
      <c r="C260" s="17">
        <v>2120</v>
      </c>
      <c r="F260" s="16" t="s">
        <v>2090</v>
      </c>
      <c r="G260" s="17">
        <v>2955</v>
      </c>
    </row>
    <row r="261" spans="2:7" x14ac:dyDescent="0.25">
      <c r="B261" s="15" t="s">
        <v>2089</v>
      </c>
      <c r="C261" s="17">
        <v>50</v>
      </c>
      <c r="F261" s="16" t="s">
        <v>2090</v>
      </c>
      <c r="G261" s="17">
        <v>1657</v>
      </c>
    </row>
    <row r="262" spans="2:7" x14ac:dyDescent="0.25">
      <c r="B262" s="15" t="s">
        <v>2089</v>
      </c>
      <c r="C262" s="17">
        <v>2080</v>
      </c>
      <c r="F262" s="16" t="s">
        <v>2090</v>
      </c>
      <c r="G262" s="17">
        <v>926</v>
      </c>
    </row>
    <row r="263" spans="2:7" x14ac:dyDescent="0.25">
      <c r="B263" s="15" t="s">
        <v>2089</v>
      </c>
      <c r="C263" s="17">
        <v>2105</v>
      </c>
      <c r="F263" s="16" t="s">
        <v>2090</v>
      </c>
      <c r="G263" s="17">
        <v>77</v>
      </c>
    </row>
    <row r="264" spans="2:7" x14ac:dyDescent="0.25">
      <c r="B264" s="15" t="s">
        <v>2089</v>
      </c>
      <c r="C264" s="17">
        <v>2436</v>
      </c>
      <c r="F264" s="16" t="s">
        <v>2090</v>
      </c>
      <c r="G264" s="17">
        <v>1748</v>
      </c>
    </row>
    <row r="265" spans="2:7" x14ac:dyDescent="0.25">
      <c r="B265" s="15" t="s">
        <v>2089</v>
      </c>
      <c r="C265" s="17">
        <v>80</v>
      </c>
      <c r="F265" s="16" t="s">
        <v>2090</v>
      </c>
      <c r="G265" s="17">
        <v>79</v>
      </c>
    </row>
    <row r="266" spans="2:7" x14ac:dyDescent="0.25">
      <c r="B266" s="15" t="s">
        <v>2089</v>
      </c>
      <c r="C266" s="17">
        <v>42</v>
      </c>
      <c r="F266" s="16" t="s">
        <v>2090</v>
      </c>
      <c r="G266" s="17">
        <v>889</v>
      </c>
    </row>
    <row r="267" spans="2:7" x14ac:dyDescent="0.25">
      <c r="B267" s="15" t="s">
        <v>2089</v>
      </c>
      <c r="C267" s="17">
        <v>139</v>
      </c>
      <c r="F267" s="16" t="s">
        <v>2090</v>
      </c>
      <c r="G267" s="17">
        <v>56</v>
      </c>
    </row>
    <row r="268" spans="2:7" x14ac:dyDescent="0.25">
      <c r="B268" s="15" t="s">
        <v>2089</v>
      </c>
      <c r="C268" s="17">
        <v>159</v>
      </c>
      <c r="F268" s="16" t="s">
        <v>2090</v>
      </c>
      <c r="G268" s="17">
        <v>1</v>
      </c>
    </row>
    <row r="269" spans="2:7" x14ac:dyDescent="0.25">
      <c r="B269" s="15" t="s">
        <v>2089</v>
      </c>
      <c r="C269" s="17">
        <v>381</v>
      </c>
      <c r="F269" s="16" t="s">
        <v>2090</v>
      </c>
      <c r="G269" s="17">
        <v>83</v>
      </c>
    </row>
    <row r="270" spans="2:7" x14ac:dyDescent="0.25">
      <c r="B270" s="15" t="s">
        <v>2089</v>
      </c>
      <c r="C270" s="17">
        <v>194</v>
      </c>
      <c r="F270" s="16" t="s">
        <v>2090</v>
      </c>
      <c r="G270" s="17">
        <v>2025</v>
      </c>
    </row>
    <row r="271" spans="2:7" x14ac:dyDescent="0.25">
      <c r="B271" s="15" t="s">
        <v>2089</v>
      </c>
      <c r="C271" s="17">
        <v>106</v>
      </c>
      <c r="F271" s="16" t="s">
        <v>2090</v>
      </c>
      <c r="G271" s="17">
        <v>14</v>
      </c>
    </row>
    <row r="272" spans="2:7" x14ac:dyDescent="0.25">
      <c r="B272" s="15" t="s">
        <v>2089</v>
      </c>
      <c r="C272" s="17">
        <v>142</v>
      </c>
      <c r="F272" s="16" t="s">
        <v>2090</v>
      </c>
      <c r="G272" s="17">
        <v>656</v>
      </c>
    </row>
    <row r="273" spans="2:7" x14ac:dyDescent="0.25">
      <c r="B273" s="15" t="s">
        <v>2089</v>
      </c>
      <c r="C273" s="17">
        <v>211</v>
      </c>
      <c r="F273" s="16" t="s">
        <v>2090</v>
      </c>
      <c r="G273" s="17">
        <v>1596</v>
      </c>
    </row>
    <row r="274" spans="2:7" x14ac:dyDescent="0.25">
      <c r="B274" s="15" t="s">
        <v>2089</v>
      </c>
      <c r="C274" s="17">
        <v>2756</v>
      </c>
      <c r="F274" s="16" t="s">
        <v>2090</v>
      </c>
      <c r="G274" s="17">
        <v>10</v>
      </c>
    </row>
    <row r="275" spans="2:7" x14ac:dyDescent="0.25">
      <c r="B275" s="15" t="s">
        <v>2089</v>
      </c>
      <c r="C275" s="17">
        <v>173</v>
      </c>
      <c r="F275" s="16" t="s">
        <v>2090</v>
      </c>
      <c r="G275" s="17">
        <v>1121</v>
      </c>
    </row>
    <row r="276" spans="2:7" x14ac:dyDescent="0.25">
      <c r="B276" s="15" t="s">
        <v>2089</v>
      </c>
      <c r="C276" s="17">
        <v>87</v>
      </c>
      <c r="F276" s="16" t="s">
        <v>2090</v>
      </c>
      <c r="G276" s="17">
        <v>15</v>
      </c>
    </row>
    <row r="277" spans="2:7" x14ac:dyDescent="0.25">
      <c r="B277" s="15" t="s">
        <v>2089</v>
      </c>
      <c r="C277" s="17">
        <v>1572</v>
      </c>
      <c r="F277" s="16" t="s">
        <v>2090</v>
      </c>
      <c r="G277" s="17">
        <v>191</v>
      </c>
    </row>
    <row r="278" spans="2:7" x14ac:dyDescent="0.25">
      <c r="B278" s="15" t="s">
        <v>2089</v>
      </c>
      <c r="C278" s="17">
        <v>2346</v>
      </c>
      <c r="F278" s="16" t="s">
        <v>2090</v>
      </c>
      <c r="G278" s="17">
        <v>16</v>
      </c>
    </row>
    <row r="279" spans="2:7" x14ac:dyDescent="0.25">
      <c r="B279" s="15" t="s">
        <v>2089</v>
      </c>
      <c r="C279" s="17">
        <v>115</v>
      </c>
      <c r="F279" s="16" t="s">
        <v>2090</v>
      </c>
      <c r="G279" s="17">
        <v>17</v>
      </c>
    </row>
    <row r="280" spans="2:7" x14ac:dyDescent="0.25">
      <c r="B280" s="15" t="s">
        <v>2089</v>
      </c>
      <c r="C280" s="17">
        <v>85</v>
      </c>
      <c r="F280" s="16" t="s">
        <v>2090</v>
      </c>
      <c r="G280" s="17">
        <v>34</v>
      </c>
    </row>
    <row r="281" spans="2:7" x14ac:dyDescent="0.25">
      <c r="B281" s="15" t="s">
        <v>2089</v>
      </c>
      <c r="C281" s="17">
        <v>144</v>
      </c>
      <c r="F281" s="16" t="s">
        <v>2090</v>
      </c>
      <c r="G281" s="17">
        <v>1</v>
      </c>
    </row>
    <row r="282" spans="2:7" x14ac:dyDescent="0.25">
      <c r="B282" s="15" t="s">
        <v>2089</v>
      </c>
      <c r="C282" s="17">
        <v>2443</v>
      </c>
      <c r="F282" s="16" t="s">
        <v>2090</v>
      </c>
      <c r="G282" s="17">
        <v>1274</v>
      </c>
    </row>
    <row r="283" spans="2:7" x14ac:dyDescent="0.25">
      <c r="B283" s="15" t="s">
        <v>2089</v>
      </c>
      <c r="C283" s="17">
        <v>64</v>
      </c>
      <c r="F283" s="16" t="s">
        <v>2090</v>
      </c>
      <c r="G283" s="17">
        <v>210</v>
      </c>
    </row>
    <row r="284" spans="2:7" x14ac:dyDescent="0.25">
      <c r="B284" s="15" t="s">
        <v>2089</v>
      </c>
      <c r="C284" s="17">
        <v>268</v>
      </c>
      <c r="F284" s="16" t="s">
        <v>2090</v>
      </c>
      <c r="G284" s="17">
        <v>248</v>
      </c>
    </row>
    <row r="285" spans="2:7" x14ac:dyDescent="0.25">
      <c r="B285" s="15" t="s">
        <v>2089</v>
      </c>
      <c r="C285" s="17">
        <v>195</v>
      </c>
      <c r="F285" s="16" t="s">
        <v>2090</v>
      </c>
      <c r="G285" s="17">
        <v>513</v>
      </c>
    </row>
    <row r="286" spans="2:7" x14ac:dyDescent="0.25">
      <c r="B286" s="15" t="s">
        <v>2089</v>
      </c>
      <c r="C286" s="17">
        <v>186</v>
      </c>
      <c r="F286" s="16" t="s">
        <v>2090</v>
      </c>
      <c r="G286" s="17">
        <v>3410</v>
      </c>
    </row>
    <row r="287" spans="2:7" x14ac:dyDescent="0.25">
      <c r="B287" s="15" t="s">
        <v>2089</v>
      </c>
      <c r="C287" s="17">
        <v>460</v>
      </c>
      <c r="F287" s="16" t="s">
        <v>2090</v>
      </c>
      <c r="G287" s="17">
        <v>10</v>
      </c>
    </row>
    <row r="288" spans="2:7" x14ac:dyDescent="0.25">
      <c r="B288" s="15" t="s">
        <v>2089</v>
      </c>
      <c r="C288" s="17">
        <v>2528</v>
      </c>
      <c r="F288" s="16" t="s">
        <v>2090</v>
      </c>
      <c r="G288" s="17">
        <v>2201</v>
      </c>
    </row>
    <row r="289" spans="2:7" x14ac:dyDescent="0.25">
      <c r="B289" s="15" t="s">
        <v>2089</v>
      </c>
      <c r="C289" s="17">
        <v>3657</v>
      </c>
      <c r="F289" s="16" t="s">
        <v>2090</v>
      </c>
      <c r="G289" s="17">
        <v>676</v>
      </c>
    </row>
    <row r="290" spans="2:7" x14ac:dyDescent="0.25">
      <c r="B290" s="15" t="s">
        <v>2089</v>
      </c>
      <c r="C290" s="17">
        <v>131</v>
      </c>
      <c r="F290" s="16" t="s">
        <v>2090</v>
      </c>
      <c r="G290" s="17">
        <v>831</v>
      </c>
    </row>
    <row r="291" spans="2:7" x14ac:dyDescent="0.25">
      <c r="B291" s="15" t="s">
        <v>2089</v>
      </c>
      <c r="C291" s="17">
        <v>239</v>
      </c>
      <c r="F291" s="16" t="s">
        <v>2090</v>
      </c>
      <c r="G291" s="17">
        <v>859</v>
      </c>
    </row>
    <row r="292" spans="2:7" x14ac:dyDescent="0.25">
      <c r="B292" s="15" t="s">
        <v>2089</v>
      </c>
      <c r="C292" s="17">
        <v>78</v>
      </c>
      <c r="F292" s="16" t="s">
        <v>2090</v>
      </c>
      <c r="G292" s="17">
        <v>45</v>
      </c>
    </row>
    <row r="293" spans="2:7" x14ac:dyDescent="0.25">
      <c r="B293" s="15" t="s">
        <v>2089</v>
      </c>
      <c r="C293" s="17">
        <v>1773</v>
      </c>
      <c r="F293" s="16" t="s">
        <v>2090</v>
      </c>
      <c r="G293" s="17">
        <v>6</v>
      </c>
    </row>
    <row r="294" spans="2:7" x14ac:dyDescent="0.25">
      <c r="B294" s="15" t="s">
        <v>2089</v>
      </c>
      <c r="C294" s="17">
        <v>32</v>
      </c>
      <c r="F294" s="16" t="s">
        <v>2090</v>
      </c>
      <c r="G294" s="17">
        <v>7</v>
      </c>
    </row>
    <row r="295" spans="2:7" x14ac:dyDescent="0.25">
      <c r="B295" s="15" t="s">
        <v>2089</v>
      </c>
      <c r="C295" s="17">
        <v>369</v>
      </c>
      <c r="F295" s="16" t="s">
        <v>2090</v>
      </c>
      <c r="G295" s="17">
        <v>31</v>
      </c>
    </row>
    <row r="296" spans="2:7" x14ac:dyDescent="0.25">
      <c r="B296" s="15" t="s">
        <v>2089</v>
      </c>
      <c r="C296" s="17">
        <v>89</v>
      </c>
      <c r="F296" s="16" t="s">
        <v>2090</v>
      </c>
      <c r="G296" s="17">
        <v>78</v>
      </c>
    </row>
    <row r="297" spans="2:7" x14ac:dyDescent="0.25">
      <c r="B297" s="15" t="s">
        <v>2089</v>
      </c>
      <c r="C297" s="17">
        <v>147</v>
      </c>
      <c r="F297" s="16" t="s">
        <v>2090</v>
      </c>
      <c r="G297" s="17">
        <v>1225</v>
      </c>
    </row>
    <row r="298" spans="2:7" x14ac:dyDescent="0.25">
      <c r="B298" s="15" t="s">
        <v>2089</v>
      </c>
      <c r="C298" s="17">
        <v>126</v>
      </c>
      <c r="F298" s="16" t="s">
        <v>2090</v>
      </c>
      <c r="G298" s="17">
        <v>1</v>
      </c>
    </row>
    <row r="299" spans="2:7" x14ac:dyDescent="0.25">
      <c r="B299" s="15" t="s">
        <v>2089</v>
      </c>
      <c r="C299" s="17">
        <v>2218</v>
      </c>
      <c r="F299" s="16" t="s">
        <v>2090</v>
      </c>
      <c r="G299" s="17">
        <v>67</v>
      </c>
    </row>
    <row r="300" spans="2:7" x14ac:dyDescent="0.25">
      <c r="B300" s="15" t="s">
        <v>2089</v>
      </c>
      <c r="C300" s="17">
        <v>202</v>
      </c>
      <c r="F300" s="16" t="s">
        <v>2090</v>
      </c>
      <c r="G300" s="17">
        <v>19</v>
      </c>
    </row>
    <row r="301" spans="2:7" x14ac:dyDescent="0.25">
      <c r="B301" s="15" t="s">
        <v>2089</v>
      </c>
      <c r="C301" s="17">
        <v>140</v>
      </c>
      <c r="F301" s="16" t="s">
        <v>2090</v>
      </c>
      <c r="G301" s="17">
        <v>2108</v>
      </c>
    </row>
    <row r="302" spans="2:7" x14ac:dyDescent="0.25">
      <c r="B302" s="15" t="s">
        <v>2089</v>
      </c>
      <c r="C302" s="17">
        <v>1052</v>
      </c>
      <c r="F302" s="16" t="s">
        <v>2090</v>
      </c>
      <c r="G302" s="17">
        <v>679</v>
      </c>
    </row>
    <row r="303" spans="2:7" x14ac:dyDescent="0.25">
      <c r="B303" s="15" t="s">
        <v>2089</v>
      </c>
      <c r="C303" s="17">
        <v>247</v>
      </c>
      <c r="F303" s="16" t="s">
        <v>2090</v>
      </c>
      <c r="G303" s="17">
        <v>36</v>
      </c>
    </row>
    <row r="304" spans="2:7" x14ac:dyDescent="0.25">
      <c r="B304" s="15" t="s">
        <v>2089</v>
      </c>
      <c r="C304" s="17">
        <v>84</v>
      </c>
      <c r="F304" s="16" t="s">
        <v>2090</v>
      </c>
      <c r="G304" s="17">
        <v>47</v>
      </c>
    </row>
    <row r="305" spans="2:7" x14ac:dyDescent="0.25">
      <c r="B305" s="15" t="s">
        <v>2089</v>
      </c>
      <c r="C305" s="17">
        <v>88</v>
      </c>
      <c r="F305" s="16" t="s">
        <v>2090</v>
      </c>
      <c r="G305" s="17">
        <v>70</v>
      </c>
    </row>
    <row r="306" spans="2:7" x14ac:dyDescent="0.25">
      <c r="B306" s="15" t="s">
        <v>2089</v>
      </c>
      <c r="C306" s="17">
        <v>156</v>
      </c>
      <c r="F306" s="16" t="s">
        <v>2090</v>
      </c>
      <c r="G306" s="17">
        <v>154</v>
      </c>
    </row>
    <row r="307" spans="2:7" x14ac:dyDescent="0.25">
      <c r="B307" s="15" t="s">
        <v>2089</v>
      </c>
      <c r="C307" s="17">
        <v>2985</v>
      </c>
      <c r="F307" s="16" t="s">
        <v>2090</v>
      </c>
      <c r="G307" s="17">
        <v>22</v>
      </c>
    </row>
    <row r="308" spans="2:7" x14ac:dyDescent="0.25">
      <c r="B308" s="15" t="s">
        <v>2089</v>
      </c>
      <c r="C308" s="17">
        <v>762</v>
      </c>
      <c r="F308" s="16" t="s">
        <v>2090</v>
      </c>
      <c r="G308" s="17">
        <v>1758</v>
      </c>
    </row>
    <row r="309" spans="2:7" x14ac:dyDescent="0.25">
      <c r="B309" s="15" t="s">
        <v>2089</v>
      </c>
      <c r="C309" s="17">
        <v>554</v>
      </c>
      <c r="F309" s="16" t="s">
        <v>2090</v>
      </c>
      <c r="G309" s="17">
        <v>94</v>
      </c>
    </row>
    <row r="310" spans="2:7" x14ac:dyDescent="0.25">
      <c r="B310" s="15" t="s">
        <v>2089</v>
      </c>
      <c r="C310" s="17">
        <v>135</v>
      </c>
      <c r="F310" s="16" t="s">
        <v>2090</v>
      </c>
      <c r="G310" s="17">
        <v>33</v>
      </c>
    </row>
    <row r="311" spans="2:7" x14ac:dyDescent="0.25">
      <c r="B311" s="15" t="s">
        <v>2089</v>
      </c>
      <c r="C311" s="17">
        <v>122</v>
      </c>
      <c r="F311" s="16" t="s">
        <v>2090</v>
      </c>
      <c r="G311" s="17">
        <v>1</v>
      </c>
    </row>
    <row r="312" spans="2:7" x14ac:dyDescent="0.25">
      <c r="B312" s="15" t="s">
        <v>2089</v>
      </c>
      <c r="C312" s="17">
        <v>221</v>
      </c>
      <c r="F312" s="16" t="s">
        <v>2090</v>
      </c>
      <c r="G312" s="17">
        <v>31</v>
      </c>
    </row>
    <row r="313" spans="2:7" x14ac:dyDescent="0.25">
      <c r="B313" s="15" t="s">
        <v>2089</v>
      </c>
      <c r="C313" s="17">
        <v>126</v>
      </c>
      <c r="F313" s="16" t="s">
        <v>2090</v>
      </c>
      <c r="G313" s="17">
        <v>35</v>
      </c>
    </row>
    <row r="314" spans="2:7" x14ac:dyDescent="0.25">
      <c r="B314" s="15" t="s">
        <v>2089</v>
      </c>
      <c r="C314" s="17">
        <v>1022</v>
      </c>
      <c r="F314" s="16" t="s">
        <v>2090</v>
      </c>
      <c r="G314" s="17">
        <v>63</v>
      </c>
    </row>
    <row r="315" spans="2:7" x14ac:dyDescent="0.25">
      <c r="B315" s="15" t="s">
        <v>2089</v>
      </c>
      <c r="C315" s="17">
        <v>3177</v>
      </c>
      <c r="F315" s="16" t="s">
        <v>2090</v>
      </c>
      <c r="G315" s="17">
        <v>526</v>
      </c>
    </row>
    <row r="316" spans="2:7" x14ac:dyDescent="0.25">
      <c r="B316" s="15" t="s">
        <v>2089</v>
      </c>
      <c r="C316" s="17">
        <v>198</v>
      </c>
      <c r="F316" s="16" t="s">
        <v>2090</v>
      </c>
      <c r="G316" s="17">
        <v>121</v>
      </c>
    </row>
    <row r="317" spans="2:7" x14ac:dyDescent="0.25">
      <c r="B317" s="15" t="s">
        <v>2089</v>
      </c>
      <c r="C317" s="17">
        <v>85</v>
      </c>
      <c r="F317" s="16" t="s">
        <v>2090</v>
      </c>
      <c r="G317" s="17">
        <v>67</v>
      </c>
    </row>
    <row r="318" spans="2:7" x14ac:dyDescent="0.25">
      <c r="B318" s="15" t="s">
        <v>2089</v>
      </c>
      <c r="C318" s="17">
        <v>3596</v>
      </c>
      <c r="F318" s="16" t="s">
        <v>2090</v>
      </c>
      <c r="G318" s="17">
        <v>57</v>
      </c>
    </row>
    <row r="319" spans="2:7" x14ac:dyDescent="0.25">
      <c r="B319" s="15" t="s">
        <v>2089</v>
      </c>
      <c r="C319" s="17">
        <v>244</v>
      </c>
      <c r="F319" s="16" t="s">
        <v>2090</v>
      </c>
      <c r="G319" s="17">
        <v>1229</v>
      </c>
    </row>
    <row r="320" spans="2:7" x14ac:dyDescent="0.25">
      <c r="B320" s="15" t="s">
        <v>2089</v>
      </c>
      <c r="C320" s="17">
        <v>5180</v>
      </c>
      <c r="F320" s="16" t="s">
        <v>2090</v>
      </c>
      <c r="G320" s="17">
        <v>12</v>
      </c>
    </row>
    <row r="321" spans="2:7" x14ac:dyDescent="0.25">
      <c r="B321" s="15" t="s">
        <v>2089</v>
      </c>
      <c r="C321" s="17">
        <v>589</v>
      </c>
      <c r="F321" s="16" t="s">
        <v>2090</v>
      </c>
      <c r="G321" s="17">
        <v>452</v>
      </c>
    </row>
    <row r="322" spans="2:7" x14ac:dyDescent="0.25">
      <c r="B322" s="15" t="s">
        <v>2089</v>
      </c>
      <c r="C322" s="17">
        <v>2725</v>
      </c>
      <c r="F322" s="16" t="s">
        <v>2090</v>
      </c>
      <c r="G322" s="17">
        <v>1886</v>
      </c>
    </row>
    <row r="323" spans="2:7" x14ac:dyDescent="0.25">
      <c r="B323" s="15" t="s">
        <v>2089</v>
      </c>
      <c r="C323" s="17">
        <v>300</v>
      </c>
      <c r="F323" s="16" t="s">
        <v>2090</v>
      </c>
      <c r="G323" s="17">
        <v>1825</v>
      </c>
    </row>
    <row r="324" spans="2:7" x14ac:dyDescent="0.25">
      <c r="B324" s="15" t="s">
        <v>2089</v>
      </c>
      <c r="C324" s="17">
        <v>144</v>
      </c>
      <c r="F324" s="16" t="s">
        <v>2090</v>
      </c>
      <c r="G324" s="17">
        <v>31</v>
      </c>
    </row>
    <row r="325" spans="2:7" x14ac:dyDescent="0.25">
      <c r="B325" s="15" t="s">
        <v>2089</v>
      </c>
      <c r="C325" s="17">
        <v>87</v>
      </c>
      <c r="F325" s="16" t="s">
        <v>2090</v>
      </c>
      <c r="G325" s="17">
        <v>107</v>
      </c>
    </row>
    <row r="326" spans="2:7" x14ac:dyDescent="0.25">
      <c r="B326" s="15" t="s">
        <v>2089</v>
      </c>
      <c r="C326" s="17">
        <v>3116</v>
      </c>
      <c r="F326" s="16" t="s">
        <v>2090</v>
      </c>
      <c r="G326" s="17">
        <v>27</v>
      </c>
    </row>
    <row r="327" spans="2:7" x14ac:dyDescent="0.25">
      <c r="B327" s="15" t="s">
        <v>2089</v>
      </c>
      <c r="C327" s="17">
        <v>909</v>
      </c>
      <c r="F327" s="16" t="s">
        <v>2090</v>
      </c>
      <c r="G327" s="17">
        <v>1221</v>
      </c>
    </row>
    <row r="328" spans="2:7" x14ac:dyDescent="0.25">
      <c r="B328" s="15" t="s">
        <v>2089</v>
      </c>
      <c r="C328" s="17">
        <v>1613</v>
      </c>
      <c r="F328" s="16" t="s">
        <v>2090</v>
      </c>
      <c r="G328" s="17">
        <v>1</v>
      </c>
    </row>
    <row r="329" spans="2:7" x14ac:dyDescent="0.25">
      <c r="B329" s="15" t="s">
        <v>2089</v>
      </c>
      <c r="C329" s="17">
        <v>136</v>
      </c>
      <c r="F329" s="16" t="s">
        <v>2090</v>
      </c>
      <c r="G329" s="17">
        <v>16</v>
      </c>
    </row>
    <row r="330" spans="2:7" x14ac:dyDescent="0.25">
      <c r="B330" s="15" t="s">
        <v>2089</v>
      </c>
      <c r="C330" s="17">
        <v>130</v>
      </c>
      <c r="F330" s="16" t="s">
        <v>2090</v>
      </c>
      <c r="G330" s="17">
        <v>41</v>
      </c>
    </row>
    <row r="331" spans="2:7" x14ac:dyDescent="0.25">
      <c r="B331" s="15" t="s">
        <v>2089</v>
      </c>
      <c r="C331" s="17">
        <v>102</v>
      </c>
      <c r="F331" s="16" t="s">
        <v>2090</v>
      </c>
      <c r="G331" s="17">
        <v>523</v>
      </c>
    </row>
    <row r="332" spans="2:7" x14ac:dyDescent="0.25">
      <c r="B332" s="15" t="s">
        <v>2089</v>
      </c>
      <c r="C332" s="17">
        <v>4006</v>
      </c>
      <c r="F332" s="16" t="s">
        <v>2090</v>
      </c>
      <c r="G332" s="17">
        <v>141</v>
      </c>
    </row>
    <row r="333" spans="2:7" x14ac:dyDescent="0.25">
      <c r="B333" s="15" t="s">
        <v>2089</v>
      </c>
      <c r="C333" s="17">
        <v>1629</v>
      </c>
      <c r="F333" s="16" t="s">
        <v>2090</v>
      </c>
      <c r="G333" s="17">
        <v>52</v>
      </c>
    </row>
    <row r="334" spans="2:7" x14ac:dyDescent="0.25">
      <c r="B334" s="15" t="s">
        <v>2089</v>
      </c>
      <c r="C334" s="17">
        <v>2188</v>
      </c>
      <c r="F334" s="16" t="s">
        <v>2090</v>
      </c>
      <c r="G334" s="17">
        <v>225</v>
      </c>
    </row>
    <row r="335" spans="2:7" x14ac:dyDescent="0.25">
      <c r="B335" s="15" t="s">
        <v>2089</v>
      </c>
      <c r="C335" s="17">
        <v>2409</v>
      </c>
      <c r="F335" s="16" t="s">
        <v>2090</v>
      </c>
      <c r="G335" s="17">
        <v>38</v>
      </c>
    </row>
    <row r="336" spans="2:7" x14ac:dyDescent="0.25">
      <c r="B336" s="15" t="s">
        <v>2089</v>
      </c>
      <c r="C336" s="17">
        <v>194</v>
      </c>
      <c r="F336" s="16" t="s">
        <v>2090</v>
      </c>
      <c r="G336" s="17">
        <v>15</v>
      </c>
    </row>
    <row r="337" spans="2:7" x14ac:dyDescent="0.25">
      <c r="B337" s="15" t="s">
        <v>2089</v>
      </c>
      <c r="C337" s="17">
        <v>1140</v>
      </c>
      <c r="F337" s="16" t="s">
        <v>2090</v>
      </c>
      <c r="G337" s="17">
        <v>37</v>
      </c>
    </row>
    <row r="338" spans="2:7" x14ac:dyDescent="0.25">
      <c r="B338" s="15" t="s">
        <v>2089</v>
      </c>
      <c r="C338" s="17">
        <v>102</v>
      </c>
      <c r="F338" s="16" t="s">
        <v>2090</v>
      </c>
      <c r="G338" s="17">
        <v>112</v>
      </c>
    </row>
    <row r="339" spans="2:7" x14ac:dyDescent="0.25">
      <c r="B339" s="15" t="s">
        <v>2089</v>
      </c>
      <c r="C339" s="17">
        <v>2857</v>
      </c>
      <c r="F339" s="16" t="s">
        <v>2090</v>
      </c>
      <c r="G339" s="17">
        <v>21</v>
      </c>
    </row>
    <row r="340" spans="2:7" x14ac:dyDescent="0.25">
      <c r="B340" s="15" t="s">
        <v>2089</v>
      </c>
      <c r="C340" s="17">
        <v>107</v>
      </c>
      <c r="F340" s="16" t="s">
        <v>2090</v>
      </c>
      <c r="G340" s="17">
        <v>67</v>
      </c>
    </row>
    <row r="341" spans="2:7" x14ac:dyDescent="0.25">
      <c r="B341" s="15" t="s">
        <v>2089</v>
      </c>
      <c r="C341" s="17">
        <v>160</v>
      </c>
      <c r="F341" s="16" t="s">
        <v>2090</v>
      </c>
      <c r="G341" s="17">
        <v>78</v>
      </c>
    </row>
    <row r="342" spans="2:7" x14ac:dyDescent="0.25">
      <c r="B342" s="15" t="s">
        <v>2089</v>
      </c>
      <c r="C342" s="17">
        <v>2230</v>
      </c>
      <c r="F342" s="16" t="s">
        <v>2090</v>
      </c>
      <c r="G342" s="17">
        <v>67</v>
      </c>
    </row>
    <row r="343" spans="2:7" x14ac:dyDescent="0.25">
      <c r="B343" s="15" t="s">
        <v>2089</v>
      </c>
      <c r="C343" s="17">
        <v>316</v>
      </c>
      <c r="F343" s="16" t="s">
        <v>2090</v>
      </c>
      <c r="G343" s="17">
        <v>263</v>
      </c>
    </row>
    <row r="344" spans="2:7" x14ac:dyDescent="0.25">
      <c r="B344" s="15" t="s">
        <v>2089</v>
      </c>
      <c r="C344" s="17">
        <v>117</v>
      </c>
      <c r="F344" s="16" t="s">
        <v>2090</v>
      </c>
      <c r="G344" s="17">
        <v>1691</v>
      </c>
    </row>
    <row r="345" spans="2:7" x14ac:dyDescent="0.25">
      <c r="B345" s="15" t="s">
        <v>2089</v>
      </c>
      <c r="C345" s="17">
        <v>6406</v>
      </c>
      <c r="F345" s="16" t="s">
        <v>2090</v>
      </c>
      <c r="G345" s="17">
        <v>181</v>
      </c>
    </row>
    <row r="346" spans="2:7" x14ac:dyDescent="0.25">
      <c r="B346" s="15" t="s">
        <v>2089</v>
      </c>
      <c r="C346" s="17">
        <v>192</v>
      </c>
      <c r="F346" s="16" t="s">
        <v>2090</v>
      </c>
      <c r="G346" s="17">
        <v>13</v>
      </c>
    </row>
    <row r="347" spans="2:7" x14ac:dyDescent="0.25">
      <c r="B347" s="15" t="s">
        <v>2089</v>
      </c>
      <c r="C347" s="17">
        <v>26</v>
      </c>
      <c r="F347" s="16" t="s">
        <v>2090</v>
      </c>
      <c r="G347" s="17">
        <v>1</v>
      </c>
    </row>
    <row r="348" spans="2:7" x14ac:dyDescent="0.25">
      <c r="B348" s="15" t="s">
        <v>2089</v>
      </c>
      <c r="C348" s="17">
        <v>723</v>
      </c>
      <c r="F348" s="16" t="s">
        <v>2090</v>
      </c>
      <c r="G348" s="17">
        <v>21</v>
      </c>
    </row>
    <row r="349" spans="2:7" x14ac:dyDescent="0.25">
      <c r="B349" s="15" t="s">
        <v>2089</v>
      </c>
      <c r="C349" s="17">
        <v>170</v>
      </c>
      <c r="F349" s="16" t="s">
        <v>2090</v>
      </c>
      <c r="G349" s="17">
        <v>830</v>
      </c>
    </row>
    <row r="350" spans="2:7" x14ac:dyDescent="0.25">
      <c r="B350" s="15" t="s">
        <v>2089</v>
      </c>
      <c r="C350" s="17">
        <v>238</v>
      </c>
      <c r="F350" s="16" t="s">
        <v>2090</v>
      </c>
      <c r="G350" s="17">
        <v>130</v>
      </c>
    </row>
    <row r="351" spans="2:7" x14ac:dyDescent="0.25">
      <c r="B351" s="15" t="s">
        <v>2089</v>
      </c>
      <c r="C351" s="17">
        <v>55</v>
      </c>
      <c r="F351" s="16" t="s">
        <v>2090</v>
      </c>
      <c r="G351" s="17">
        <v>55</v>
      </c>
    </row>
    <row r="352" spans="2:7" x14ac:dyDescent="0.25">
      <c r="B352" s="15" t="s">
        <v>2089</v>
      </c>
      <c r="C352" s="17">
        <v>128</v>
      </c>
      <c r="F352" s="16" t="s">
        <v>2090</v>
      </c>
      <c r="G352" s="17">
        <v>114</v>
      </c>
    </row>
    <row r="353" spans="2:7" x14ac:dyDescent="0.25">
      <c r="B353" s="15" t="s">
        <v>2089</v>
      </c>
      <c r="C353" s="17">
        <v>2144</v>
      </c>
      <c r="F353" s="16" t="s">
        <v>2090</v>
      </c>
      <c r="G353" s="17">
        <v>594</v>
      </c>
    </row>
    <row r="354" spans="2:7" x14ac:dyDescent="0.25">
      <c r="B354" s="15" t="s">
        <v>2089</v>
      </c>
      <c r="C354" s="17">
        <v>2693</v>
      </c>
      <c r="F354" s="16" t="s">
        <v>2090</v>
      </c>
      <c r="G354" s="17">
        <v>24</v>
      </c>
    </row>
    <row r="355" spans="2:7" x14ac:dyDescent="0.25">
      <c r="B355" s="15" t="s">
        <v>2089</v>
      </c>
      <c r="C355" s="17">
        <v>432</v>
      </c>
      <c r="F355" s="16" t="s">
        <v>2090</v>
      </c>
      <c r="G355" s="17">
        <v>252</v>
      </c>
    </row>
    <row r="356" spans="2:7" x14ac:dyDescent="0.25">
      <c r="B356" s="15" t="s">
        <v>2089</v>
      </c>
      <c r="C356" s="17">
        <v>189</v>
      </c>
      <c r="F356" s="16" t="s">
        <v>2090</v>
      </c>
      <c r="G356" s="17">
        <v>67</v>
      </c>
    </row>
    <row r="357" spans="2:7" x14ac:dyDescent="0.25">
      <c r="B357" s="15" t="s">
        <v>2089</v>
      </c>
      <c r="C357" s="17">
        <v>154</v>
      </c>
      <c r="F357" s="16" t="s">
        <v>2090</v>
      </c>
      <c r="G357" s="17">
        <v>742</v>
      </c>
    </row>
    <row r="358" spans="2:7" x14ac:dyDescent="0.25">
      <c r="B358" s="15" t="s">
        <v>2089</v>
      </c>
      <c r="C358" s="17">
        <v>96</v>
      </c>
      <c r="F358" s="16" t="s">
        <v>2090</v>
      </c>
      <c r="G358" s="17">
        <v>75</v>
      </c>
    </row>
    <row r="359" spans="2:7" x14ac:dyDescent="0.25">
      <c r="B359" s="15" t="s">
        <v>2089</v>
      </c>
      <c r="C359" s="17">
        <v>3063</v>
      </c>
      <c r="F359" s="16" t="s">
        <v>2090</v>
      </c>
      <c r="G359" s="17">
        <v>4405</v>
      </c>
    </row>
    <row r="360" spans="2:7" x14ac:dyDescent="0.25">
      <c r="B360" s="15" t="s">
        <v>2089</v>
      </c>
      <c r="C360" s="17">
        <v>2266</v>
      </c>
      <c r="F360" s="16" t="s">
        <v>2090</v>
      </c>
      <c r="G360" s="17">
        <v>92</v>
      </c>
    </row>
    <row r="361" spans="2:7" x14ac:dyDescent="0.25">
      <c r="B361" s="15" t="s">
        <v>2089</v>
      </c>
      <c r="C361" s="17">
        <v>194</v>
      </c>
      <c r="F361" s="16" t="s">
        <v>2090</v>
      </c>
      <c r="G361" s="17">
        <v>64</v>
      </c>
    </row>
    <row r="362" spans="2:7" x14ac:dyDescent="0.25">
      <c r="B362" s="15" t="s">
        <v>2089</v>
      </c>
      <c r="C362" s="17">
        <v>129</v>
      </c>
      <c r="F362" s="16" t="s">
        <v>2090</v>
      </c>
      <c r="G362" s="17">
        <v>64</v>
      </c>
    </row>
    <row r="363" spans="2:7" x14ac:dyDescent="0.25">
      <c r="B363" s="15" t="s">
        <v>2089</v>
      </c>
      <c r="C363" s="17">
        <v>375</v>
      </c>
      <c r="F363" s="16" t="s">
        <v>2090</v>
      </c>
      <c r="G363" s="17">
        <v>842</v>
      </c>
    </row>
    <row r="364" spans="2:7" x14ac:dyDescent="0.25">
      <c r="B364" s="15" t="s">
        <v>2089</v>
      </c>
      <c r="C364" s="17">
        <v>409</v>
      </c>
      <c r="F364" s="16" t="s">
        <v>2090</v>
      </c>
      <c r="G364" s="17">
        <v>112</v>
      </c>
    </row>
    <row r="365" spans="2:7" x14ac:dyDescent="0.25">
      <c r="B365" s="15" t="s">
        <v>2089</v>
      </c>
      <c r="C365" s="17">
        <v>234</v>
      </c>
      <c r="F365" s="16" t="s">
        <v>2090</v>
      </c>
      <c r="G365" s="17">
        <v>374</v>
      </c>
    </row>
    <row r="366" spans="2:7" x14ac:dyDescent="0.25">
      <c r="B366" s="15" t="s">
        <v>2089</v>
      </c>
      <c r="C366" s="17">
        <v>3016</v>
      </c>
    </row>
    <row r="367" spans="2:7" x14ac:dyDescent="0.25">
      <c r="B367" s="15" t="s">
        <v>2089</v>
      </c>
      <c r="C367" s="17">
        <v>264</v>
      </c>
    </row>
    <row r="368" spans="2:7" x14ac:dyDescent="0.25">
      <c r="B368" s="15" t="s">
        <v>2089</v>
      </c>
      <c r="C368" s="17">
        <v>272</v>
      </c>
    </row>
    <row r="369" spans="2:3" x14ac:dyDescent="0.25">
      <c r="B369" s="15" t="s">
        <v>2089</v>
      </c>
      <c r="C369" s="17">
        <v>419</v>
      </c>
    </row>
    <row r="370" spans="2:3" x14ac:dyDescent="0.25">
      <c r="B370" s="15" t="s">
        <v>2089</v>
      </c>
      <c r="C370" s="17">
        <v>1621</v>
      </c>
    </row>
    <row r="371" spans="2:3" x14ac:dyDescent="0.25">
      <c r="B371" s="15" t="s">
        <v>2089</v>
      </c>
      <c r="C371" s="17">
        <v>1101</v>
      </c>
    </row>
    <row r="372" spans="2:3" x14ac:dyDescent="0.25">
      <c r="B372" s="15" t="s">
        <v>2089</v>
      </c>
      <c r="C372" s="17">
        <v>1073</v>
      </c>
    </row>
    <row r="373" spans="2:3" x14ac:dyDescent="0.25">
      <c r="B373" s="15" t="s">
        <v>2089</v>
      </c>
      <c r="C373" s="17">
        <v>331</v>
      </c>
    </row>
    <row r="374" spans="2:3" x14ac:dyDescent="0.25">
      <c r="B374" s="15" t="s">
        <v>2089</v>
      </c>
      <c r="C374" s="17">
        <v>1170</v>
      </c>
    </row>
    <row r="375" spans="2:3" x14ac:dyDescent="0.25">
      <c r="B375" s="15" t="s">
        <v>2089</v>
      </c>
      <c r="C375" s="17">
        <v>363</v>
      </c>
    </row>
    <row r="376" spans="2:3" x14ac:dyDescent="0.25">
      <c r="B376" s="15" t="s">
        <v>2089</v>
      </c>
      <c r="C376" s="17">
        <v>103</v>
      </c>
    </row>
    <row r="377" spans="2:3" x14ac:dyDescent="0.25">
      <c r="B377" s="15" t="s">
        <v>2089</v>
      </c>
      <c r="C377" s="17">
        <v>147</v>
      </c>
    </row>
    <row r="378" spans="2:3" x14ac:dyDescent="0.25">
      <c r="B378" s="15" t="s">
        <v>2089</v>
      </c>
      <c r="C378" s="17">
        <v>110</v>
      </c>
    </row>
    <row r="379" spans="2:3" x14ac:dyDescent="0.25">
      <c r="B379" s="15" t="s">
        <v>2089</v>
      </c>
      <c r="C379" s="17">
        <v>134</v>
      </c>
    </row>
    <row r="380" spans="2:3" x14ac:dyDescent="0.25">
      <c r="B380" s="15" t="s">
        <v>2089</v>
      </c>
      <c r="C380" s="17">
        <v>269</v>
      </c>
    </row>
    <row r="381" spans="2:3" x14ac:dyDescent="0.25">
      <c r="B381" s="15" t="s">
        <v>2089</v>
      </c>
      <c r="C381" s="17">
        <v>175</v>
      </c>
    </row>
    <row r="382" spans="2:3" x14ac:dyDescent="0.25">
      <c r="B382" s="15" t="s">
        <v>2089</v>
      </c>
      <c r="C382" s="17">
        <v>69</v>
      </c>
    </row>
    <row r="383" spans="2:3" x14ac:dyDescent="0.25">
      <c r="B383" s="15" t="s">
        <v>2089</v>
      </c>
      <c r="C383" s="17">
        <v>190</v>
      </c>
    </row>
    <row r="384" spans="2:3" x14ac:dyDescent="0.25">
      <c r="B384" s="15" t="s">
        <v>2089</v>
      </c>
      <c r="C384" s="17">
        <v>237</v>
      </c>
    </row>
    <row r="385" spans="2:3" x14ac:dyDescent="0.25">
      <c r="B385" s="15" t="s">
        <v>2089</v>
      </c>
      <c r="C385" s="17">
        <v>196</v>
      </c>
    </row>
    <row r="386" spans="2:3" x14ac:dyDescent="0.25">
      <c r="B386" s="15" t="s">
        <v>2089</v>
      </c>
      <c r="C386" s="17">
        <v>7295</v>
      </c>
    </row>
    <row r="387" spans="2:3" x14ac:dyDescent="0.25">
      <c r="B387" s="15" t="s">
        <v>2089</v>
      </c>
      <c r="C387" s="17">
        <v>2893</v>
      </c>
    </row>
    <row r="388" spans="2:3" x14ac:dyDescent="0.25">
      <c r="B388" s="15" t="s">
        <v>2089</v>
      </c>
      <c r="C388" s="17">
        <v>820</v>
      </c>
    </row>
    <row r="389" spans="2:3" x14ac:dyDescent="0.25">
      <c r="B389" s="15" t="s">
        <v>2089</v>
      </c>
      <c r="C389" s="17">
        <v>2038</v>
      </c>
    </row>
    <row r="390" spans="2:3" x14ac:dyDescent="0.25">
      <c r="B390" s="15" t="s">
        <v>2089</v>
      </c>
      <c r="C390" s="17">
        <v>116</v>
      </c>
    </row>
    <row r="391" spans="2:3" x14ac:dyDescent="0.25">
      <c r="B391" s="15" t="s">
        <v>2089</v>
      </c>
      <c r="C391" s="17">
        <v>1345</v>
      </c>
    </row>
    <row r="392" spans="2:3" x14ac:dyDescent="0.25">
      <c r="B392" s="15" t="s">
        <v>2089</v>
      </c>
      <c r="C392" s="17">
        <v>168</v>
      </c>
    </row>
    <row r="393" spans="2:3" x14ac:dyDescent="0.25">
      <c r="B393" s="15" t="s">
        <v>2089</v>
      </c>
      <c r="C393" s="17">
        <v>137</v>
      </c>
    </row>
    <row r="394" spans="2:3" x14ac:dyDescent="0.25">
      <c r="B394" s="15" t="s">
        <v>2089</v>
      </c>
      <c r="C394" s="17">
        <v>186</v>
      </c>
    </row>
    <row r="395" spans="2:3" x14ac:dyDescent="0.25">
      <c r="B395" s="15" t="s">
        <v>2089</v>
      </c>
      <c r="C395" s="17">
        <v>125</v>
      </c>
    </row>
    <row r="396" spans="2:3" x14ac:dyDescent="0.25">
      <c r="B396" s="15" t="s">
        <v>2089</v>
      </c>
      <c r="C396" s="17">
        <v>202</v>
      </c>
    </row>
    <row r="397" spans="2:3" x14ac:dyDescent="0.25">
      <c r="B397" s="15" t="s">
        <v>2089</v>
      </c>
      <c r="C397" s="17">
        <v>103</v>
      </c>
    </row>
    <row r="398" spans="2:3" x14ac:dyDescent="0.25">
      <c r="B398" s="15" t="s">
        <v>2089</v>
      </c>
      <c r="C398" s="17">
        <v>1785</v>
      </c>
    </row>
    <row r="399" spans="2:3" x14ac:dyDescent="0.25">
      <c r="B399" s="15" t="s">
        <v>2089</v>
      </c>
      <c r="C399" s="17">
        <v>157</v>
      </c>
    </row>
    <row r="400" spans="2:3" x14ac:dyDescent="0.25">
      <c r="B400" s="15" t="s">
        <v>2089</v>
      </c>
      <c r="C400" s="17">
        <v>555</v>
      </c>
    </row>
    <row r="401" spans="2:3" x14ac:dyDescent="0.25">
      <c r="B401" s="15" t="s">
        <v>2089</v>
      </c>
      <c r="C401" s="17">
        <v>297</v>
      </c>
    </row>
    <row r="402" spans="2:3" x14ac:dyDescent="0.25">
      <c r="B402" s="15" t="s">
        <v>2089</v>
      </c>
      <c r="C402" s="17">
        <v>123</v>
      </c>
    </row>
    <row r="403" spans="2:3" x14ac:dyDescent="0.25">
      <c r="B403" s="15" t="s">
        <v>2089</v>
      </c>
      <c r="C403" s="17">
        <v>3036</v>
      </c>
    </row>
    <row r="404" spans="2:3" x14ac:dyDescent="0.25">
      <c r="B404" s="15" t="s">
        <v>2089</v>
      </c>
      <c r="C404" s="17">
        <v>144</v>
      </c>
    </row>
    <row r="405" spans="2:3" x14ac:dyDescent="0.25">
      <c r="B405" s="15" t="s">
        <v>2089</v>
      </c>
      <c r="C405" s="17">
        <v>121</v>
      </c>
    </row>
    <row r="406" spans="2:3" x14ac:dyDescent="0.25">
      <c r="B406" s="15" t="s">
        <v>2089</v>
      </c>
      <c r="C406" s="17">
        <v>181</v>
      </c>
    </row>
    <row r="407" spans="2:3" x14ac:dyDescent="0.25">
      <c r="B407" s="15" t="s">
        <v>2089</v>
      </c>
      <c r="C407" s="17">
        <v>122</v>
      </c>
    </row>
    <row r="408" spans="2:3" x14ac:dyDescent="0.25">
      <c r="B408" s="15" t="s">
        <v>2089</v>
      </c>
      <c r="C408" s="17">
        <v>1071</v>
      </c>
    </row>
    <row r="409" spans="2:3" x14ac:dyDescent="0.25">
      <c r="B409" s="15" t="s">
        <v>2089</v>
      </c>
      <c r="C409" s="17">
        <v>980</v>
      </c>
    </row>
    <row r="410" spans="2:3" x14ac:dyDescent="0.25">
      <c r="B410" s="15" t="s">
        <v>2089</v>
      </c>
      <c r="C410" s="17">
        <v>536</v>
      </c>
    </row>
    <row r="411" spans="2:3" x14ac:dyDescent="0.25">
      <c r="B411" s="15" t="s">
        <v>2089</v>
      </c>
      <c r="C411" s="17">
        <v>1991</v>
      </c>
    </row>
    <row r="412" spans="2:3" x14ac:dyDescent="0.25">
      <c r="B412" s="15" t="s">
        <v>2089</v>
      </c>
      <c r="C412" s="17">
        <v>180</v>
      </c>
    </row>
    <row r="413" spans="2:3" x14ac:dyDescent="0.25">
      <c r="B413" s="15" t="s">
        <v>2089</v>
      </c>
      <c r="C413" s="17">
        <v>130</v>
      </c>
    </row>
    <row r="414" spans="2:3" x14ac:dyDescent="0.25">
      <c r="B414" s="15" t="s">
        <v>2089</v>
      </c>
      <c r="C414" s="17">
        <v>122</v>
      </c>
    </row>
    <row r="415" spans="2:3" x14ac:dyDescent="0.25">
      <c r="B415" s="15" t="s">
        <v>2089</v>
      </c>
      <c r="C415" s="17">
        <v>140</v>
      </c>
    </row>
    <row r="416" spans="2:3" x14ac:dyDescent="0.25">
      <c r="B416" s="15" t="s">
        <v>2089</v>
      </c>
      <c r="C416" s="17">
        <v>3388</v>
      </c>
    </row>
    <row r="417" spans="2:3" x14ac:dyDescent="0.25">
      <c r="B417" s="15" t="s">
        <v>2089</v>
      </c>
      <c r="C417" s="17">
        <v>280</v>
      </c>
    </row>
    <row r="418" spans="2:3" x14ac:dyDescent="0.25">
      <c r="B418" s="15" t="s">
        <v>2089</v>
      </c>
      <c r="C418" s="17">
        <v>366</v>
      </c>
    </row>
    <row r="419" spans="2:3" x14ac:dyDescent="0.25">
      <c r="B419" s="15" t="s">
        <v>2089</v>
      </c>
      <c r="C419" s="17">
        <v>270</v>
      </c>
    </row>
    <row r="420" spans="2:3" x14ac:dyDescent="0.25">
      <c r="B420" s="15" t="s">
        <v>2089</v>
      </c>
      <c r="C420" s="17">
        <v>137</v>
      </c>
    </row>
    <row r="421" spans="2:3" x14ac:dyDescent="0.25">
      <c r="B421" s="15" t="s">
        <v>2089</v>
      </c>
      <c r="C421" s="17">
        <v>3205</v>
      </c>
    </row>
    <row r="422" spans="2:3" x14ac:dyDescent="0.25">
      <c r="B422" s="15" t="s">
        <v>2089</v>
      </c>
      <c r="C422" s="17">
        <v>288</v>
      </c>
    </row>
    <row r="423" spans="2:3" x14ac:dyDescent="0.25">
      <c r="B423" s="15" t="s">
        <v>2089</v>
      </c>
      <c r="C423" s="17">
        <v>148</v>
      </c>
    </row>
    <row r="424" spans="2:3" x14ac:dyDescent="0.25">
      <c r="B424" s="15" t="s">
        <v>2089</v>
      </c>
      <c r="C424" s="17">
        <v>114</v>
      </c>
    </row>
    <row r="425" spans="2:3" x14ac:dyDescent="0.25">
      <c r="B425" s="15" t="s">
        <v>2089</v>
      </c>
      <c r="C425" s="17">
        <v>1518</v>
      </c>
    </row>
    <row r="426" spans="2:3" x14ac:dyDescent="0.25">
      <c r="B426" s="15" t="s">
        <v>2089</v>
      </c>
      <c r="C426" s="17">
        <v>166</v>
      </c>
    </row>
    <row r="427" spans="2:3" x14ac:dyDescent="0.25">
      <c r="B427" s="15" t="s">
        <v>2089</v>
      </c>
      <c r="C427" s="17">
        <v>100</v>
      </c>
    </row>
    <row r="428" spans="2:3" x14ac:dyDescent="0.25">
      <c r="B428" s="15" t="s">
        <v>2089</v>
      </c>
      <c r="C428" s="17">
        <v>235</v>
      </c>
    </row>
    <row r="429" spans="2:3" x14ac:dyDescent="0.25">
      <c r="B429" s="15" t="s">
        <v>2089</v>
      </c>
      <c r="C429" s="17">
        <v>148</v>
      </c>
    </row>
    <row r="430" spans="2:3" x14ac:dyDescent="0.25">
      <c r="B430" s="15" t="s">
        <v>2089</v>
      </c>
      <c r="C430" s="17">
        <v>198</v>
      </c>
    </row>
    <row r="431" spans="2:3" x14ac:dyDescent="0.25">
      <c r="B431" s="15" t="s">
        <v>2089</v>
      </c>
      <c r="C431" s="17">
        <v>150</v>
      </c>
    </row>
    <row r="432" spans="2:3" x14ac:dyDescent="0.25">
      <c r="B432" s="15" t="s">
        <v>2089</v>
      </c>
      <c r="C432" s="17">
        <v>216</v>
      </c>
    </row>
    <row r="433" spans="2:3" x14ac:dyDescent="0.25">
      <c r="B433" s="15" t="s">
        <v>2089</v>
      </c>
      <c r="C433" s="17">
        <v>5139</v>
      </c>
    </row>
    <row r="434" spans="2:3" x14ac:dyDescent="0.25">
      <c r="B434" s="15" t="s">
        <v>2089</v>
      </c>
      <c r="C434" s="17">
        <v>2353</v>
      </c>
    </row>
    <row r="435" spans="2:3" x14ac:dyDescent="0.25">
      <c r="B435" s="15" t="s">
        <v>2089</v>
      </c>
      <c r="C435" s="17">
        <v>78</v>
      </c>
    </row>
    <row r="436" spans="2:3" x14ac:dyDescent="0.25">
      <c r="B436" s="15" t="s">
        <v>2089</v>
      </c>
      <c r="C436" s="17">
        <v>174</v>
      </c>
    </row>
    <row r="437" spans="2:3" x14ac:dyDescent="0.25">
      <c r="B437" s="15" t="s">
        <v>2089</v>
      </c>
      <c r="C437" s="17">
        <v>164</v>
      </c>
    </row>
    <row r="438" spans="2:3" x14ac:dyDescent="0.25">
      <c r="B438" s="15" t="s">
        <v>2089</v>
      </c>
      <c r="C438" s="17">
        <v>161</v>
      </c>
    </row>
    <row r="439" spans="2:3" x14ac:dyDescent="0.25">
      <c r="B439" s="15" t="s">
        <v>2089</v>
      </c>
      <c r="C439" s="17">
        <v>138</v>
      </c>
    </row>
    <row r="440" spans="2:3" x14ac:dyDescent="0.25">
      <c r="B440" s="15" t="s">
        <v>2089</v>
      </c>
      <c r="C440" s="17">
        <v>3308</v>
      </c>
    </row>
    <row r="441" spans="2:3" x14ac:dyDescent="0.25">
      <c r="B441" s="15" t="s">
        <v>2089</v>
      </c>
      <c r="C441" s="17">
        <v>127</v>
      </c>
    </row>
    <row r="442" spans="2:3" x14ac:dyDescent="0.25">
      <c r="B442" s="15" t="s">
        <v>2089</v>
      </c>
      <c r="C442" s="17">
        <v>207</v>
      </c>
    </row>
    <row r="443" spans="2:3" x14ac:dyDescent="0.25">
      <c r="B443" s="15" t="s">
        <v>2089</v>
      </c>
      <c r="C443" s="17">
        <v>181</v>
      </c>
    </row>
    <row r="444" spans="2:3" x14ac:dyDescent="0.25">
      <c r="B444" s="15" t="s">
        <v>2089</v>
      </c>
      <c r="C444" s="17">
        <v>110</v>
      </c>
    </row>
    <row r="445" spans="2:3" x14ac:dyDescent="0.25">
      <c r="B445" s="15" t="s">
        <v>2089</v>
      </c>
      <c r="C445" s="17">
        <v>185</v>
      </c>
    </row>
    <row r="446" spans="2:3" x14ac:dyDescent="0.25">
      <c r="B446" s="15" t="s">
        <v>2089</v>
      </c>
      <c r="C446" s="17">
        <v>121</v>
      </c>
    </row>
    <row r="447" spans="2:3" x14ac:dyDescent="0.25">
      <c r="B447" s="15" t="s">
        <v>2089</v>
      </c>
      <c r="C447" s="17">
        <v>106</v>
      </c>
    </row>
    <row r="448" spans="2:3" x14ac:dyDescent="0.25">
      <c r="B448" s="15" t="s">
        <v>2089</v>
      </c>
      <c r="C448" s="17">
        <v>142</v>
      </c>
    </row>
    <row r="449" spans="2:3" x14ac:dyDescent="0.25">
      <c r="B449" s="15" t="s">
        <v>2089</v>
      </c>
      <c r="C449" s="17">
        <v>233</v>
      </c>
    </row>
    <row r="450" spans="2:3" x14ac:dyDescent="0.25">
      <c r="B450" s="15" t="s">
        <v>2089</v>
      </c>
      <c r="C450" s="17">
        <v>218</v>
      </c>
    </row>
    <row r="451" spans="2:3" x14ac:dyDescent="0.25">
      <c r="B451" s="15" t="s">
        <v>2089</v>
      </c>
      <c r="C451" s="17">
        <v>76</v>
      </c>
    </row>
    <row r="452" spans="2:3" x14ac:dyDescent="0.25">
      <c r="B452" s="15" t="s">
        <v>2089</v>
      </c>
      <c r="C452" s="17">
        <v>43</v>
      </c>
    </row>
    <row r="453" spans="2:3" x14ac:dyDescent="0.25">
      <c r="B453" s="15" t="s">
        <v>2089</v>
      </c>
      <c r="C453" s="17">
        <v>221</v>
      </c>
    </row>
    <row r="454" spans="2:3" x14ac:dyDescent="0.25">
      <c r="B454" s="15" t="s">
        <v>2089</v>
      </c>
      <c r="C454" s="17">
        <v>2805</v>
      </c>
    </row>
    <row r="455" spans="2:3" x14ac:dyDescent="0.25">
      <c r="B455" s="15" t="s">
        <v>2089</v>
      </c>
      <c r="C455" s="17">
        <v>68</v>
      </c>
    </row>
    <row r="456" spans="2:3" x14ac:dyDescent="0.25">
      <c r="B456" s="15" t="s">
        <v>2089</v>
      </c>
      <c r="C456" s="17">
        <v>183</v>
      </c>
    </row>
    <row r="457" spans="2:3" x14ac:dyDescent="0.25">
      <c r="B457" s="15" t="s">
        <v>2089</v>
      </c>
      <c r="C457" s="17">
        <v>133</v>
      </c>
    </row>
    <row r="458" spans="2:3" x14ac:dyDescent="0.25">
      <c r="B458" s="15" t="s">
        <v>2089</v>
      </c>
      <c r="C458" s="17">
        <v>2489</v>
      </c>
    </row>
    <row r="459" spans="2:3" x14ac:dyDescent="0.25">
      <c r="B459" s="15" t="s">
        <v>2089</v>
      </c>
      <c r="C459" s="17">
        <v>69</v>
      </c>
    </row>
    <row r="460" spans="2:3" x14ac:dyDescent="0.25">
      <c r="B460" s="15" t="s">
        <v>2089</v>
      </c>
      <c r="C460" s="17">
        <v>279</v>
      </c>
    </row>
    <row r="461" spans="2:3" x14ac:dyDescent="0.25">
      <c r="B461" s="15" t="s">
        <v>2089</v>
      </c>
      <c r="C461" s="17">
        <v>210</v>
      </c>
    </row>
    <row r="462" spans="2:3" x14ac:dyDescent="0.25">
      <c r="B462" s="15" t="s">
        <v>2089</v>
      </c>
      <c r="C462" s="17">
        <v>2100</v>
      </c>
    </row>
    <row r="463" spans="2:3" x14ac:dyDescent="0.25">
      <c r="B463" s="15" t="s">
        <v>2089</v>
      </c>
      <c r="C463" s="17">
        <v>252</v>
      </c>
    </row>
    <row r="464" spans="2:3" x14ac:dyDescent="0.25">
      <c r="B464" s="15" t="s">
        <v>2089</v>
      </c>
      <c r="C464" s="17">
        <v>1280</v>
      </c>
    </row>
    <row r="465" spans="2:3" x14ac:dyDescent="0.25">
      <c r="B465" s="15" t="s">
        <v>2089</v>
      </c>
      <c r="C465" s="17">
        <v>157</v>
      </c>
    </row>
    <row r="466" spans="2:3" x14ac:dyDescent="0.25">
      <c r="B466" s="15" t="s">
        <v>2089</v>
      </c>
      <c r="C466" s="17">
        <v>194</v>
      </c>
    </row>
    <row r="467" spans="2:3" x14ac:dyDescent="0.25">
      <c r="B467" s="15" t="s">
        <v>2089</v>
      </c>
      <c r="C467" s="17">
        <v>82</v>
      </c>
    </row>
    <row r="468" spans="2:3" x14ac:dyDescent="0.25">
      <c r="B468" s="15" t="s">
        <v>2089</v>
      </c>
      <c r="C468" s="17">
        <v>4233</v>
      </c>
    </row>
    <row r="469" spans="2:3" x14ac:dyDescent="0.25">
      <c r="B469" s="15" t="s">
        <v>2089</v>
      </c>
      <c r="C469" s="17">
        <v>1297</v>
      </c>
    </row>
    <row r="470" spans="2:3" x14ac:dyDescent="0.25">
      <c r="B470" s="15" t="s">
        <v>2089</v>
      </c>
      <c r="C470" s="17">
        <v>165</v>
      </c>
    </row>
    <row r="471" spans="2:3" x14ac:dyDescent="0.25">
      <c r="B471" s="15" t="s">
        <v>2089</v>
      </c>
      <c r="C471" s="17">
        <v>119</v>
      </c>
    </row>
    <row r="472" spans="2:3" x14ac:dyDescent="0.25">
      <c r="B472" s="15" t="s">
        <v>2089</v>
      </c>
      <c r="C472" s="17">
        <v>1797</v>
      </c>
    </row>
    <row r="473" spans="2:3" x14ac:dyDescent="0.25">
      <c r="B473" s="15" t="s">
        <v>2089</v>
      </c>
      <c r="C473" s="17">
        <v>261</v>
      </c>
    </row>
    <row r="474" spans="2:3" x14ac:dyDescent="0.25">
      <c r="B474" s="15" t="s">
        <v>2089</v>
      </c>
      <c r="C474" s="17">
        <v>157</v>
      </c>
    </row>
    <row r="475" spans="2:3" x14ac:dyDescent="0.25">
      <c r="B475" s="15" t="s">
        <v>2089</v>
      </c>
      <c r="C475" s="17">
        <v>3533</v>
      </c>
    </row>
    <row r="476" spans="2:3" x14ac:dyDescent="0.25">
      <c r="B476" s="15" t="s">
        <v>2089</v>
      </c>
      <c r="C476" s="17">
        <v>155</v>
      </c>
    </row>
    <row r="477" spans="2:3" x14ac:dyDescent="0.25">
      <c r="B477" s="15" t="s">
        <v>2089</v>
      </c>
      <c r="C477" s="17">
        <v>132</v>
      </c>
    </row>
    <row r="478" spans="2:3" x14ac:dyDescent="0.25">
      <c r="B478" s="15" t="s">
        <v>2089</v>
      </c>
      <c r="C478" s="17">
        <v>1354</v>
      </c>
    </row>
    <row r="479" spans="2:3" x14ac:dyDescent="0.25">
      <c r="B479" s="15" t="s">
        <v>2089</v>
      </c>
      <c r="C479" s="17">
        <v>48</v>
      </c>
    </row>
    <row r="480" spans="2:3" x14ac:dyDescent="0.25">
      <c r="B480" s="15" t="s">
        <v>2089</v>
      </c>
      <c r="C480" s="17">
        <v>110</v>
      </c>
    </row>
    <row r="481" spans="2:3" x14ac:dyDescent="0.25">
      <c r="B481" s="15" t="s">
        <v>2089</v>
      </c>
      <c r="C481" s="17">
        <v>172</v>
      </c>
    </row>
    <row r="482" spans="2:3" x14ac:dyDescent="0.25">
      <c r="B482" s="15" t="s">
        <v>2089</v>
      </c>
      <c r="C482" s="17">
        <v>307</v>
      </c>
    </row>
    <row r="483" spans="2:3" x14ac:dyDescent="0.25">
      <c r="B483" s="15" t="s">
        <v>2089</v>
      </c>
      <c r="C483" s="17">
        <v>160</v>
      </c>
    </row>
    <row r="484" spans="2:3" x14ac:dyDescent="0.25">
      <c r="B484" s="15" t="s">
        <v>2089</v>
      </c>
      <c r="C484" s="17">
        <v>1467</v>
      </c>
    </row>
    <row r="485" spans="2:3" x14ac:dyDescent="0.25">
      <c r="B485" s="15" t="s">
        <v>2089</v>
      </c>
      <c r="C485" s="17">
        <v>2662</v>
      </c>
    </row>
    <row r="486" spans="2:3" x14ac:dyDescent="0.25">
      <c r="B486" s="15" t="s">
        <v>2089</v>
      </c>
      <c r="C486" s="17">
        <v>452</v>
      </c>
    </row>
    <row r="487" spans="2:3" x14ac:dyDescent="0.25">
      <c r="B487" s="15" t="s">
        <v>2089</v>
      </c>
      <c r="C487" s="17">
        <v>158</v>
      </c>
    </row>
    <row r="488" spans="2:3" x14ac:dyDescent="0.25">
      <c r="B488" s="15" t="s">
        <v>2089</v>
      </c>
      <c r="C488" s="17">
        <v>225</v>
      </c>
    </row>
    <row r="489" spans="2:3" x14ac:dyDescent="0.25">
      <c r="B489" s="15" t="s">
        <v>2089</v>
      </c>
      <c r="C489" s="17">
        <v>65</v>
      </c>
    </row>
    <row r="490" spans="2:3" x14ac:dyDescent="0.25">
      <c r="B490" s="15" t="s">
        <v>2089</v>
      </c>
      <c r="C490" s="17">
        <v>163</v>
      </c>
    </row>
    <row r="491" spans="2:3" x14ac:dyDescent="0.25">
      <c r="B491" s="15" t="s">
        <v>2089</v>
      </c>
      <c r="C491" s="17">
        <v>85</v>
      </c>
    </row>
    <row r="492" spans="2:3" x14ac:dyDescent="0.25">
      <c r="B492" s="15" t="s">
        <v>2089</v>
      </c>
      <c r="C492" s="17">
        <v>217</v>
      </c>
    </row>
    <row r="493" spans="2:3" x14ac:dyDescent="0.25">
      <c r="B493" s="15" t="s">
        <v>2089</v>
      </c>
      <c r="C493" s="17">
        <v>150</v>
      </c>
    </row>
    <row r="494" spans="2:3" x14ac:dyDescent="0.25">
      <c r="B494" s="15" t="s">
        <v>2089</v>
      </c>
      <c r="C494" s="17">
        <v>3272</v>
      </c>
    </row>
    <row r="495" spans="2:3" x14ac:dyDescent="0.25">
      <c r="B495" s="15" t="s">
        <v>2089</v>
      </c>
      <c r="C495" s="17">
        <v>300</v>
      </c>
    </row>
    <row r="496" spans="2:3" x14ac:dyDescent="0.25">
      <c r="B496" s="15" t="s">
        <v>2089</v>
      </c>
      <c r="C496" s="17">
        <v>126</v>
      </c>
    </row>
    <row r="497" spans="2:3" x14ac:dyDescent="0.25">
      <c r="B497" s="15" t="s">
        <v>2089</v>
      </c>
      <c r="C497" s="17">
        <v>2320</v>
      </c>
    </row>
    <row r="498" spans="2:3" x14ac:dyDescent="0.25">
      <c r="B498" s="15" t="s">
        <v>2089</v>
      </c>
      <c r="C498" s="17">
        <v>81</v>
      </c>
    </row>
    <row r="499" spans="2:3" x14ac:dyDescent="0.25">
      <c r="B499" s="15" t="s">
        <v>2089</v>
      </c>
      <c r="C499" s="17">
        <v>1887</v>
      </c>
    </row>
    <row r="500" spans="2:3" x14ac:dyDescent="0.25">
      <c r="B500" s="15" t="s">
        <v>2089</v>
      </c>
      <c r="C500" s="17">
        <v>4358</v>
      </c>
    </row>
    <row r="501" spans="2:3" x14ac:dyDescent="0.25">
      <c r="B501" s="15" t="s">
        <v>2089</v>
      </c>
      <c r="C501" s="17">
        <v>53</v>
      </c>
    </row>
    <row r="502" spans="2:3" x14ac:dyDescent="0.25">
      <c r="B502" s="15" t="s">
        <v>2089</v>
      </c>
      <c r="C502" s="17">
        <v>2414</v>
      </c>
    </row>
    <row r="503" spans="2:3" x14ac:dyDescent="0.25">
      <c r="B503" s="15" t="s">
        <v>2089</v>
      </c>
      <c r="C503" s="17">
        <v>80</v>
      </c>
    </row>
    <row r="504" spans="2:3" x14ac:dyDescent="0.25">
      <c r="B504" s="15" t="s">
        <v>2089</v>
      </c>
      <c r="C504" s="17">
        <v>193</v>
      </c>
    </row>
    <row r="505" spans="2:3" x14ac:dyDescent="0.25">
      <c r="B505" s="15" t="s">
        <v>2089</v>
      </c>
      <c r="C505" s="17">
        <v>52</v>
      </c>
    </row>
    <row r="506" spans="2:3" x14ac:dyDescent="0.25">
      <c r="B506" s="15" t="s">
        <v>2089</v>
      </c>
      <c r="C506" s="17">
        <v>290</v>
      </c>
    </row>
    <row r="507" spans="2:3" x14ac:dyDescent="0.25">
      <c r="B507" s="15" t="s">
        <v>2089</v>
      </c>
      <c r="C507" s="17">
        <v>122</v>
      </c>
    </row>
    <row r="508" spans="2:3" x14ac:dyDescent="0.25">
      <c r="B508" s="15" t="s">
        <v>2089</v>
      </c>
      <c r="C508" s="17">
        <v>1470</v>
      </c>
    </row>
    <row r="509" spans="2:3" x14ac:dyDescent="0.25">
      <c r="B509" s="15" t="s">
        <v>2089</v>
      </c>
      <c r="C509" s="17">
        <v>165</v>
      </c>
    </row>
    <row r="510" spans="2:3" x14ac:dyDescent="0.25">
      <c r="B510" s="15" t="s">
        <v>2089</v>
      </c>
      <c r="C510" s="17">
        <v>182</v>
      </c>
    </row>
    <row r="511" spans="2:3" x14ac:dyDescent="0.25">
      <c r="B511" s="15" t="s">
        <v>2089</v>
      </c>
      <c r="C511" s="17">
        <v>199</v>
      </c>
    </row>
    <row r="512" spans="2:3" x14ac:dyDescent="0.25">
      <c r="B512" s="15" t="s">
        <v>2089</v>
      </c>
      <c r="C512" s="17">
        <v>56</v>
      </c>
    </row>
    <row r="513" spans="2:3" x14ac:dyDescent="0.25">
      <c r="B513" s="15" t="s">
        <v>2089</v>
      </c>
      <c r="C513" s="17">
        <v>1460</v>
      </c>
    </row>
    <row r="514" spans="2:3" x14ac:dyDescent="0.25">
      <c r="B514" s="15" t="s">
        <v>2089</v>
      </c>
      <c r="C514" s="17">
        <v>123</v>
      </c>
    </row>
    <row r="515" spans="2:3" x14ac:dyDescent="0.25">
      <c r="B515" s="15" t="s">
        <v>2089</v>
      </c>
      <c r="C515" s="17">
        <v>159</v>
      </c>
    </row>
    <row r="516" spans="2:3" x14ac:dyDescent="0.25">
      <c r="B516" s="15" t="s">
        <v>2089</v>
      </c>
      <c r="C516" s="17">
        <v>110</v>
      </c>
    </row>
    <row r="517" spans="2:3" x14ac:dyDescent="0.25">
      <c r="B517" s="15" t="s">
        <v>2089</v>
      </c>
      <c r="C517" s="17">
        <v>236</v>
      </c>
    </row>
    <row r="518" spans="2:3" x14ac:dyDescent="0.25">
      <c r="B518" s="15" t="s">
        <v>2089</v>
      </c>
      <c r="C518" s="17">
        <v>191</v>
      </c>
    </row>
    <row r="519" spans="2:3" x14ac:dyDescent="0.25">
      <c r="B519" s="15" t="s">
        <v>2089</v>
      </c>
      <c r="C519" s="17">
        <v>3934</v>
      </c>
    </row>
    <row r="520" spans="2:3" x14ac:dyDescent="0.25">
      <c r="B520" s="15" t="s">
        <v>2089</v>
      </c>
      <c r="C520" s="17">
        <v>80</v>
      </c>
    </row>
    <row r="521" spans="2:3" x14ac:dyDescent="0.25">
      <c r="B521" s="15" t="s">
        <v>2089</v>
      </c>
      <c r="C521" s="17">
        <v>462</v>
      </c>
    </row>
    <row r="522" spans="2:3" x14ac:dyDescent="0.25">
      <c r="B522" s="15" t="s">
        <v>2089</v>
      </c>
      <c r="C522" s="17">
        <v>179</v>
      </c>
    </row>
    <row r="523" spans="2:3" x14ac:dyDescent="0.25">
      <c r="B523" s="15" t="s">
        <v>2089</v>
      </c>
      <c r="C523" s="17">
        <v>1866</v>
      </c>
    </row>
    <row r="524" spans="2:3" x14ac:dyDescent="0.25">
      <c r="B524" s="15" t="s">
        <v>2089</v>
      </c>
      <c r="C524" s="17">
        <v>156</v>
      </c>
    </row>
    <row r="525" spans="2:3" x14ac:dyDescent="0.25">
      <c r="B525" s="15" t="s">
        <v>2089</v>
      </c>
      <c r="C525" s="17">
        <v>255</v>
      </c>
    </row>
    <row r="526" spans="2:3" x14ac:dyDescent="0.25">
      <c r="B526" s="15" t="s">
        <v>2089</v>
      </c>
      <c r="C526" s="17">
        <v>2261</v>
      </c>
    </row>
    <row r="527" spans="2:3" x14ac:dyDescent="0.25">
      <c r="B527" s="15" t="s">
        <v>2089</v>
      </c>
      <c r="C527" s="17">
        <v>40</v>
      </c>
    </row>
    <row r="528" spans="2:3" x14ac:dyDescent="0.25">
      <c r="B528" s="15" t="s">
        <v>2089</v>
      </c>
      <c r="C528" s="17">
        <v>2289</v>
      </c>
    </row>
    <row r="529" spans="2:3" x14ac:dyDescent="0.25">
      <c r="B529" s="15" t="s">
        <v>2089</v>
      </c>
      <c r="C529" s="17">
        <v>65</v>
      </c>
    </row>
    <row r="530" spans="2:3" x14ac:dyDescent="0.25">
      <c r="B530" s="15" t="s">
        <v>2089</v>
      </c>
      <c r="C530" s="17">
        <v>3777</v>
      </c>
    </row>
    <row r="531" spans="2:3" x14ac:dyDescent="0.25">
      <c r="B531" s="15" t="s">
        <v>2089</v>
      </c>
      <c r="C531" s="17">
        <v>184</v>
      </c>
    </row>
    <row r="532" spans="2:3" x14ac:dyDescent="0.25">
      <c r="B532" s="15" t="s">
        <v>2089</v>
      </c>
      <c r="C532" s="17">
        <v>85</v>
      </c>
    </row>
    <row r="533" spans="2:3" x14ac:dyDescent="0.25">
      <c r="B533" s="15" t="s">
        <v>2089</v>
      </c>
      <c r="C533" s="17">
        <v>144</v>
      </c>
    </row>
    <row r="534" spans="2:3" x14ac:dyDescent="0.25">
      <c r="B534" s="15" t="s">
        <v>2089</v>
      </c>
      <c r="C534" s="17">
        <v>1902</v>
      </c>
    </row>
    <row r="535" spans="2:3" x14ac:dyDescent="0.25">
      <c r="B535" s="15" t="s">
        <v>2089</v>
      </c>
      <c r="C535" s="17">
        <v>105</v>
      </c>
    </row>
    <row r="536" spans="2:3" x14ac:dyDescent="0.25">
      <c r="B536" s="15" t="s">
        <v>2089</v>
      </c>
      <c r="C536" s="17">
        <v>132</v>
      </c>
    </row>
    <row r="537" spans="2:3" x14ac:dyDescent="0.25">
      <c r="B537" s="15" t="s">
        <v>2089</v>
      </c>
      <c r="C537" s="17">
        <v>96</v>
      </c>
    </row>
    <row r="538" spans="2:3" x14ac:dyDescent="0.25">
      <c r="B538" s="15" t="s">
        <v>2089</v>
      </c>
      <c r="C538" s="17">
        <v>114</v>
      </c>
    </row>
    <row r="539" spans="2:3" x14ac:dyDescent="0.25">
      <c r="B539" s="15" t="s">
        <v>2089</v>
      </c>
      <c r="C539" s="17">
        <v>203</v>
      </c>
    </row>
    <row r="540" spans="2:3" x14ac:dyDescent="0.25">
      <c r="B540" s="15" t="s">
        <v>2089</v>
      </c>
      <c r="C540" s="17">
        <v>1559</v>
      </c>
    </row>
    <row r="541" spans="2:3" x14ac:dyDescent="0.25">
      <c r="B541" s="15" t="s">
        <v>2089</v>
      </c>
      <c r="C541" s="17">
        <v>1548</v>
      </c>
    </row>
    <row r="542" spans="2:3" x14ac:dyDescent="0.25">
      <c r="B542" s="15" t="s">
        <v>2089</v>
      </c>
      <c r="C542" s="17">
        <v>80</v>
      </c>
    </row>
    <row r="543" spans="2:3" x14ac:dyDescent="0.25">
      <c r="B543" s="15" t="s">
        <v>2089</v>
      </c>
      <c r="C543" s="17">
        <v>131</v>
      </c>
    </row>
    <row r="544" spans="2:3" x14ac:dyDescent="0.25">
      <c r="B544" s="15" t="s">
        <v>2089</v>
      </c>
      <c r="C544" s="17">
        <v>112</v>
      </c>
    </row>
    <row r="545" spans="2:3" x14ac:dyDescent="0.25">
      <c r="B545" s="15" t="s">
        <v>2089</v>
      </c>
      <c r="C545" s="17">
        <v>155</v>
      </c>
    </row>
    <row r="546" spans="2:3" x14ac:dyDescent="0.25">
      <c r="B546" s="15" t="s">
        <v>2089</v>
      </c>
      <c r="C546" s="17">
        <v>266</v>
      </c>
    </row>
    <row r="547" spans="2:3" x14ac:dyDescent="0.25">
      <c r="B547" s="15" t="s">
        <v>2089</v>
      </c>
      <c r="C547" s="17">
        <v>155</v>
      </c>
    </row>
    <row r="548" spans="2:3" x14ac:dyDescent="0.25">
      <c r="B548" s="15" t="s">
        <v>2089</v>
      </c>
      <c r="C548" s="17">
        <v>207</v>
      </c>
    </row>
    <row r="549" spans="2:3" x14ac:dyDescent="0.25">
      <c r="B549" s="15" t="s">
        <v>2089</v>
      </c>
      <c r="C549" s="17">
        <v>245</v>
      </c>
    </row>
    <row r="550" spans="2:3" x14ac:dyDescent="0.25">
      <c r="B550" s="15" t="s">
        <v>2089</v>
      </c>
      <c r="C550" s="17">
        <v>1573</v>
      </c>
    </row>
    <row r="551" spans="2:3" x14ac:dyDescent="0.25">
      <c r="B551" s="15" t="s">
        <v>2089</v>
      </c>
      <c r="C551" s="17">
        <v>114</v>
      </c>
    </row>
    <row r="552" spans="2:3" x14ac:dyDescent="0.25">
      <c r="B552" s="15" t="s">
        <v>2089</v>
      </c>
      <c r="C552" s="17">
        <v>93</v>
      </c>
    </row>
    <row r="553" spans="2:3" x14ac:dyDescent="0.25">
      <c r="B553" s="15" t="s">
        <v>2089</v>
      </c>
      <c r="C553" s="17">
        <v>1681</v>
      </c>
    </row>
    <row r="554" spans="2:3" x14ac:dyDescent="0.25">
      <c r="B554" s="15" t="s">
        <v>2089</v>
      </c>
      <c r="C554" s="17">
        <v>32</v>
      </c>
    </row>
    <row r="555" spans="2:3" x14ac:dyDescent="0.25">
      <c r="B555" s="15" t="s">
        <v>2089</v>
      </c>
      <c r="C555" s="17">
        <v>135</v>
      </c>
    </row>
    <row r="556" spans="2:3" x14ac:dyDescent="0.25">
      <c r="B556" s="15" t="s">
        <v>2089</v>
      </c>
      <c r="C556" s="17">
        <v>140</v>
      </c>
    </row>
    <row r="557" spans="2:3" x14ac:dyDescent="0.25">
      <c r="B557" s="15" t="s">
        <v>2089</v>
      </c>
      <c r="C557" s="17">
        <v>92</v>
      </c>
    </row>
    <row r="558" spans="2:3" x14ac:dyDescent="0.25">
      <c r="B558" s="15" t="s">
        <v>2089</v>
      </c>
      <c r="C558" s="17">
        <v>1015</v>
      </c>
    </row>
    <row r="559" spans="2:3" x14ac:dyDescent="0.25">
      <c r="B559" s="15" t="s">
        <v>2089</v>
      </c>
      <c r="C559" s="17">
        <v>323</v>
      </c>
    </row>
    <row r="560" spans="2:3" x14ac:dyDescent="0.25">
      <c r="B560" s="15" t="s">
        <v>2089</v>
      </c>
      <c r="C560" s="17">
        <v>2326</v>
      </c>
    </row>
    <row r="561" spans="2:3" x14ac:dyDescent="0.25">
      <c r="B561" s="15" t="s">
        <v>2089</v>
      </c>
      <c r="C561" s="17">
        <v>381</v>
      </c>
    </row>
    <row r="562" spans="2:3" x14ac:dyDescent="0.25">
      <c r="B562" s="15" t="s">
        <v>2089</v>
      </c>
      <c r="C562" s="17">
        <v>480</v>
      </c>
    </row>
    <row r="563" spans="2:3" x14ac:dyDescent="0.25">
      <c r="B563" s="15" t="s">
        <v>2089</v>
      </c>
      <c r="C563" s="17">
        <v>226</v>
      </c>
    </row>
    <row r="564" spans="2:3" x14ac:dyDescent="0.25">
      <c r="B564" s="15" t="s">
        <v>2089</v>
      </c>
      <c r="C564" s="17">
        <v>241</v>
      </c>
    </row>
    <row r="565" spans="2:3" x14ac:dyDescent="0.25">
      <c r="B565" s="15" t="s">
        <v>2089</v>
      </c>
      <c r="C565" s="17">
        <v>132</v>
      </c>
    </row>
    <row r="566" spans="2:3" x14ac:dyDescent="0.25">
      <c r="B566" s="15" t="s">
        <v>2089</v>
      </c>
      <c r="C566" s="17">
        <v>2043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Crowdfunding</vt:lpstr>
      <vt:lpstr>Category Outcomes</vt:lpstr>
      <vt:lpstr>SubCategory Outcomes</vt:lpstr>
      <vt:lpstr>Parent Category Outcomes</vt:lpstr>
      <vt:lpstr>Goals</vt:lpstr>
      <vt:lpstr>Statistical Analysis (backers)</vt:lpstr>
      <vt:lpstr>backers</vt:lpstr>
      <vt:lpstr>failed</vt:lpstr>
      <vt:lpstr>goal</vt:lpstr>
      <vt:lpstr>outcomes</vt:lpstr>
      <vt:lpstr>successful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Khai Tran</cp:lastModifiedBy>
  <dcterms:created xsi:type="dcterms:W3CDTF">2021-09-29T18:52:28Z</dcterms:created>
  <dcterms:modified xsi:type="dcterms:W3CDTF">2023-06-05T09:37:56Z</dcterms:modified>
</cp:coreProperties>
</file>